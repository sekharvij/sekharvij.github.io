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venkateshnaik_10875942_ltimindtree_com/Documents/Documents/IC POC/Invoices/"/>
    </mc:Choice>
  </mc:AlternateContent>
  <xr:revisionPtr revIDLastSave="4" documentId="11_8E138A465DF93C973643C238B14FDA579FAB500F" xr6:coauthVersionLast="47" xr6:coauthVersionMax="47" xr10:uidLastSave="{0FFB7E44-71E7-4080-B887-A2C1D9F0F5D4}"/>
  <bookViews>
    <workbookView xWindow="-165" yWindow="-165" windowWidth="29130" windowHeight="15810" activeTab="5" xr2:uid="{00000000-000D-0000-FFFF-FFFF00000000}"/>
  </bookViews>
  <sheets>
    <sheet name="ERP Control" sheetId="1" r:id="rId1"/>
    <sheet name="Invoice Register" sheetId="2" r:id="rId2"/>
    <sheet name="FBL5N AR Extract" sheetId="3" r:id="rId3"/>
    <sheet name="FBL1N AP Mirror" sheetId="4" r:id="rId4"/>
    <sheet name="Reconciliation" sheetId="5" r:id="rId5"/>
    <sheet name="Accounting Entries" sheetId="6" r:id="rId6"/>
  </sheets>
  <definedNames>
    <definedName name="_xlnm._FilterDatabase" localSheetId="5" hidden="1">'Accounting Entries'!$A$3:$M$43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5" l="1"/>
  <c r="M15" i="5"/>
  <c r="K15" i="5"/>
  <c r="J15" i="5"/>
  <c r="L15" i="5" s="1"/>
  <c r="I15" i="5"/>
  <c r="G15" i="5"/>
  <c r="F15" i="5"/>
  <c r="E15" i="5"/>
  <c r="D15" i="5"/>
  <c r="C15" i="5"/>
  <c r="B15" i="5"/>
  <c r="A15" i="5"/>
  <c r="N14" i="5"/>
  <c r="M14" i="5"/>
  <c r="K14" i="5"/>
  <c r="J14" i="5"/>
  <c r="L14" i="5" s="1"/>
  <c r="I14" i="5"/>
  <c r="G14" i="5"/>
  <c r="F14" i="5"/>
  <c r="H14" i="5" s="1"/>
  <c r="E14" i="5"/>
  <c r="D14" i="5"/>
  <c r="C14" i="5"/>
  <c r="B14" i="5"/>
  <c r="A14" i="5"/>
  <c r="N13" i="5"/>
  <c r="M13" i="5"/>
  <c r="K13" i="5"/>
  <c r="J13" i="5"/>
  <c r="I13" i="5"/>
  <c r="G13" i="5"/>
  <c r="F13" i="5"/>
  <c r="H13" i="5" s="1"/>
  <c r="E13" i="5"/>
  <c r="D13" i="5"/>
  <c r="C13" i="5"/>
  <c r="B13" i="5"/>
  <c r="A13" i="5"/>
  <c r="N12" i="5"/>
  <c r="M12" i="5"/>
  <c r="K12" i="5"/>
  <c r="J12" i="5"/>
  <c r="L12" i="5" s="1"/>
  <c r="I12" i="5"/>
  <c r="G12" i="5"/>
  <c r="F12" i="5"/>
  <c r="E12" i="5"/>
  <c r="D12" i="5"/>
  <c r="C12" i="5"/>
  <c r="B12" i="5"/>
  <c r="A12" i="5"/>
  <c r="N11" i="5"/>
  <c r="M11" i="5"/>
  <c r="K11" i="5"/>
  <c r="J11" i="5"/>
  <c r="I11" i="5"/>
  <c r="G11" i="5"/>
  <c r="F11" i="5"/>
  <c r="H11" i="5" s="1"/>
  <c r="E11" i="5"/>
  <c r="D11" i="5"/>
  <c r="C11" i="5"/>
  <c r="B11" i="5"/>
  <c r="A11" i="5"/>
  <c r="N10" i="5"/>
  <c r="M10" i="5"/>
  <c r="K10" i="5"/>
  <c r="J10" i="5"/>
  <c r="L10" i="5" s="1"/>
  <c r="I10" i="5"/>
  <c r="G10" i="5"/>
  <c r="F10" i="5"/>
  <c r="H10" i="5" s="1"/>
  <c r="E10" i="5"/>
  <c r="D10" i="5"/>
  <c r="C10" i="5"/>
  <c r="B10" i="5"/>
  <c r="A10" i="5"/>
  <c r="N9" i="5"/>
  <c r="M9" i="5"/>
  <c r="K9" i="5"/>
  <c r="J9" i="5"/>
  <c r="L9" i="5" s="1"/>
  <c r="I9" i="5"/>
  <c r="G9" i="5"/>
  <c r="F9" i="5"/>
  <c r="E9" i="5"/>
  <c r="D9" i="5"/>
  <c r="C9" i="5"/>
  <c r="B9" i="5"/>
  <c r="A9" i="5"/>
  <c r="N8" i="5"/>
  <c r="M8" i="5"/>
  <c r="K8" i="5"/>
  <c r="J8" i="5"/>
  <c r="I8" i="5"/>
  <c r="G8" i="5"/>
  <c r="F8" i="5"/>
  <c r="H8" i="5" s="1"/>
  <c r="E8" i="5"/>
  <c r="D8" i="5"/>
  <c r="C8" i="5"/>
  <c r="B8" i="5"/>
  <c r="A8" i="5"/>
  <c r="N7" i="5"/>
  <c r="M7" i="5"/>
  <c r="K7" i="5"/>
  <c r="J7" i="5"/>
  <c r="L7" i="5" s="1"/>
  <c r="I7" i="5"/>
  <c r="G7" i="5"/>
  <c r="F7" i="5"/>
  <c r="E7" i="5"/>
  <c r="D7" i="5"/>
  <c r="C7" i="5"/>
  <c r="B7" i="5"/>
  <c r="A7" i="5"/>
  <c r="N6" i="5"/>
  <c r="M6" i="5"/>
  <c r="K6" i="5"/>
  <c r="J6" i="5"/>
  <c r="L6" i="5" s="1"/>
  <c r="I6" i="5"/>
  <c r="G6" i="5"/>
  <c r="F6" i="5"/>
  <c r="E6" i="5"/>
  <c r="D6" i="5"/>
  <c r="C6" i="5"/>
  <c r="B6" i="5"/>
  <c r="A6" i="5"/>
  <c r="V13" i="2"/>
  <c r="V12" i="2"/>
  <c r="V11" i="2"/>
  <c r="V10" i="2"/>
  <c r="V9" i="2"/>
  <c r="V8" i="2"/>
  <c r="V7" i="2"/>
  <c r="V6" i="2"/>
  <c r="V5" i="2"/>
  <c r="V4" i="2"/>
  <c r="H6" i="5" l="1"/>
  <c r="S6" i="5"/>
  <c r="H12" i="5"/>
  <c r="H9" i="5"/>
  <c r="S9" i="5" s="1"/>
  <c r="H7" i="5"/>
  <c r="S7" i="5" s="1"/>
  <c r="L8" i="5"/>
  <c r="S8" i="5" s="1"/>
  <c r="L11" i="5"/>
  <c r="S10" i="5"/>
  <c r="H15" i="5"/>
  <c r="S15" i="5" s="1"/>
  <c r="L13" i="5"/>
  <c r="S14" i="5"/>
  <c r="S13" i="5"/>
  <c r="S12" i="5"/>
  <c r="S11" i="5"/>
</calcChain>
</file>

<file path=xl/sharedStrings.xml><?xml version="1.0" encoding="utf-8"?>
<sst xmlns="http://schemas.openxmlformats.org/spreadsheetml/2006/main" count="940" uniqueCount="142">
  <si>
    <t>LTM | INTERCOMPANY CONTROL COCKPIT | ERP Document Display</t>
  </si>
  <si>
    <t>Source file</t>
  </si>
  <si>
    <t>FBL5N_AR_Data_vs_FBL1N_AP.xlsx</t>
  </si>
  <si>
    <t>Invoice count</t>
  </si>
  <si>
    <t>10</t>
  </si>
  <si>
    <t>System ID</t>
  </si>
  <si>
    <t>LTM-ERP-PRD</t>
  </si>
  <si>
    <t>Document type</t>
  </si>
  <si>
    <t>DR - Customer Invoice</t>
  </si>
  <si>
    <t>Output type</t>
  </si>
  <si>
    <t>ZIC_INV</t>
  </si>
  <si>
    <t>Bank name</t>
  </si>
  <si>
    <t>DBS Global</t>
  </si>
  <si>
    <t>Sample account number</t>
  </si>
  <si>
    <t>000-123456-789</t>
  </si>
  <si>
    <t>Sample SWIFT / BIC</t>
  </si>
  <si>
    <t>DBSXSG00XXX</t>
  </si>
  <si>
    <t>Seller entity</t>
  </si>
  <si>
    <t>LTM Services UK Limited</t>
  </si>
  <si>
    <t>Buyer entity</t>
  </si>
  <si>
    <t>LTM Solutions Europe GmbH</t>
  </si>
  <si>
    <t>Control logic</t>
  </si>
  <si>
    <t>AP source amount + generated AR amount = zero in local and document currency</t>
  </si>
  <si>
    <t>Disclaimer</t>
  </si>
  <si>
    <t>SAP-style illustrative output; not generated by SAP. Sample bank identifiers and statutory fields require replacement with approved master data.</t>
  </si>
  <si>
    <t>LTM | 10 INVOICE REGISTER | ERP Document Display</t>
  </si>
  <si>
    <t>LTM Invoice No.</t>
  </si>
  <si>
    <t>SAP AR Document</t>
  </si>
  <si>
    <t>Source AP Document</t>
  </si>
  <si>
    <t>Document Type</t>
  </si>
  <si>
    <t>Document Date</t>
  </si>
  <si>
    <t>Due Date</t>
  </si>
  <si>
    <t>Customer Account</t>
  </si>
  <si>
    <t>Vendor Account</t>
  </si>
  <si>
    <t>Seller Entity</t>
  </si>
  <si>
    <t>Buyer Entity</t>
  </si>
  <si>
    <t>Reference</t>
  </si>
  <si>
    <t>Trading Partner</t>
  </si>
  <si>
    <t>Document Currency</t>
  </si>
  <si>
    <t>AR Doc Amount</t>
  </si>
  <si>
    <t>AP Doc Amount</t>
  </si>
  <si>
    <t>Local Currency</t>
  </si>
  <si>
    <t>AR Local Amount</t>
  </si>
  <si>
    <t>AP Local Amount</t>
  </si>
  <si>
    <t>Bank Name</t>
  </si>
  <si>
    <t>Payment Status</t>
  </si>
  <si>
    <t>Original Match Status</t>
  </si>
  <si>
    <t>Mirror Control</t>
  </si>
  <si>
    <t>Comments</t>
  </si>
  <si>
    <t>LTM-IC-2026-0001</t>
  </si>
  <si>
    <t>1800000003</t>
  </si>
  <si>
    <t>1900000002</t>
  </si>
  <si>
    <t>DR</t>
  </si>
  <si>
    <t>20004</t>
  </si>
  <si>
    <t>10004</t>
  </si>
  <si>
    <t>WBS TEST -LAB</t>
  </si>
  <si>
    <t>EU_200</t>
  </si>
  <si>
    <t>EUR</t>
  </si>
  <si>
    <t>GBP</t>
  </si>
  <si>
    <t>Open</t>
  </si>
  <si>
    <t>Not Matched</t>
  </si>
  <si>
    <t>Generated from FBL5N reference</t>
  </si>
  <si>
    <t>LTM-IC-2026-0002</t>
  </si>
  <si>
    <t>1800000004</t>
  </si>
  <si>
    <t>1900000003</t>
  </si>
  <si>
    <t>LAB - NO WBS</t>
  </si>
  <si>
    <t>LTM-IC-2026-0003</t>
  </si>
  <si>
    <t>1800000005</t>
  </si>
  <si>
    <t>1900000660</t>
  </si>
  <si>
    <t>90050558</t>
  </si>
  <si>
    <t>LTM-IC-2026-0004</t>
  </si>
  <si>
    <t>1800000006</t>
  </si>
  <si>
    <t>1900000661</t>
  </si>
  <si>
    <t>90050559</t>
  </si>
  <si>
    <t>LTM-IC-2026-0005</t>
  </si>
  <si>
    <t>1800000007</t>
  </si>
  <si>
    <t>1900000662</t>
  </si>
  <si>
    <t>90050561</t>
  </si>
  <si>
    <t>LTM-IC-2026-0006</t>
  </si>
  <si>
    <t>1800000008</t>
  </si>
  <si>
    <t>1900000663</t>
  </si>
  <si>
    <t>0F00000383</t>
  </si>
  <si>
    <t>LTM-IC-2026-0007</t>
  </si>
  <si>
    <t>1800000009</t>
  </si>
  <si>
    <t>1900000664</t>
  </si>
  <si>
    <t>0F00000400</t>
  </si>
  <si>
    <t>LTM-IC-2026-0008</t>
  </si>
  <si>
    <t>1800000010</t>
  </si>
  <si>
    <t>1900000665</t>
  </si>
  <si>
    <t>0F00000406</t>
  </si>
  <si>
    <t>LTM-IC-2026-0009</t>
  </si>
  <si>
    <t>1800000011</t>
  </si>
  <si>
    <t>1900000666</t>
  </si>
  <si>
    <t>0F00000466</t>
  </si>
  <si>
    <t>LTM-IC-2026-0010</t>
  </si>
  <si>
    <t>1800000012</t>
  </si>
  <si>
    <t>1900000667</t>
  </si>
  <si>
    <t>0F00000472</t>
  </si>
  <si>
    <t>LTM | FBL5N AR SELECTED ITEMS | ERP Document Display</t>
  </si>
  <si>
    <t>Source Vendor</t>
  </si>
  <si>
    <t>Match Status</t>
  </si>
  <si>
    <t>Matched With</t>
  </si>
  <si>
    <t>Invoice No.</t>
  </si>
  <si>
    <t>Invoice number booked differently</t>
  </si>
  <si>
    <t>LTM | FBL1N AP MIRROR ITEMS | ERP Document Display</t>
  </si>
  <si>
    <t>Generated AR Document</t>
  </si>
  <si>
    <t>Posting Status</t>
  </si>
  <si>
    <t>KR</t>
  </si>
  <si>
    <t>Posted</t>
  </si>
  <si>
    <t>LTM | AP VS AR RECONCILIATION | ERP Document Display</t>
  </si>
  <si>
    <t>Tolerance</t>
  </si>
  <si>
    <t>Currency</t>
  </si>
  <si>
    <t>Doc Variance</t>
  </si>
  <si>
    <t>Local Variance</t>
  </si>
  <si>
    <t>Statement Match</t>
  </si>
  <si>
    <t>Clearing Document</t>
  </si>
  <si>
    <t>Exception Reason</t>
  </si>
  <si>
    <t>Exception Owner</t>
  </si>
  <si>
    <t>Recon Status</t>
  </si>
  <si>
    <t>Reviewer</t>
  </si>
  <si>
    <t>Review Date</t>
  </si>
  <si>
    <t>Pending</t>
  </si>
  <si>
    <t>LTM | AR AND AP ACCOUNTING ENTRIES | ERP Document Display</t>
  </si>
  <si>
    <t>Book</t>
  </si>
  <si>
    <t>Entity</t>
  </si>
  <si>
    <t>Document No.</t>
  </si>
  <si>
    <t>GL Account</t>
  </si>
  <si>
    <t>Account Description</t>
  </si>
  <si>
    <t>Debit</t>
  </si>
  <si>
    <t>Credit</t>
  </si>
  <si>
    <t>Classification</t>
  </si>
  <si>
    <t>AR</t>
  </si>
  <si>
    <t>12100000</t>
  </si>
  <si>
    <t>Intercompany Trade Receivable</t>
  </si>
  <si>
    <t>IC Trade</t>
  </si>
  <si>
    <t>41010000</t>
  </si>
  <si>
    <t>Intercompany Trade Revenue</t>
  </si>
  <si>
    <t>AP</t>
  </si>
  <si>
    <t>51010000</t>
  </si>
  <si>
    <t>Intercompany Trade Expense</t>
  </si>
  <si>
    <t>21300000</t>
  </si>
  <si>
    <t>Intercompany Trade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</si>
</sst>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;[Red]\(#,##0.00\);\-"/>
    <numFmt numFmtId="166" formatCode="dd\-mmm\-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54A5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54A5F"/>
      </patternFill>
    </fill>
    <fill>
      <patternFill patternType="solid">
        <fgColor rgb="FFDDECF7"/>
      </patternFill>
    </fill>
    <fill>
      <patternFill patternType="solid">
        <fgColor rgb="FF0A6ED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7D2D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/>
    <xf numFmtId="0" fontId="3" fillId="4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0" fontId="4" fillId="0" borderId="0" xfId="0" applyFont="1" applyAlignment="1">
      <alignment wrapText="1"/>
    </xf>
    <xf numFmtId="165" fontId="4" fillId="5" borderId="0" xfId="0" applyNumberFormat="1" applyFont="1" applyFill="1"/>
    <xf numFmtId="165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Register10" displayName="InvoiceRegister10" ref="A3:W13">
  <tableColumns count="23">
    <tableColumn id="1" xr3:uid="{00000000-0010-0000-0000-000001000000}" name="LTM Invoice No."/>
    <tableColumn id="2" xr3:uid="{00000000-0010-0000-0000-000002000000}" name="SAP AR Document"/>
    <tableColumn id="3" xr3:uid="{00000000-0010-0000-0000-000003000000}" name="Source AP Document"/>
    <tableColumn id="4" xr3:uid="{00000000-0010-0000-0000-000004000000}" name="Document Type"/>
    <tableColumn id="5" xr3:uid="{00000000-0010-0000-0000-000005000000}" name="Document Date"/>
    <tableColumn id="6" xr3:uid="{00000000-0010-0000-0000-000006000000}" name="Due Date"/>
    <tableColumn id="7" xr3:uid="{00000000-0010-0000-0000-000007000000}" name="Customer Account"/>
    <tableColumn id="8" xr3:uid="{00000000-0010-0000-0000-000008000000}" name="Vendor Account"/>
    <tableColumn id="9" xr3:uid="{00000000-0010-0000-0000-000009000000}" name="Seller Entity"/>
    <tableColumn id="10" xr3:uid="{00000000-0010-0000-0000-00000A000000}" name="Buyer Entity"/>
    <tableColumn id="11" xr3:uid="{00000000-0010-0000-0000-00000B000000}" name="Reference"/>
    <tableColumn id="12" xr3:uid="{00000000-0010-0000-0000-00000C000000}" name="Trading Partner"/>
    <tableColumn id="13" xr3:uid="{00000000-0010-0000-0000-00000D000000}" name="Document Currency"/>
    <tableColumn id="14" xr3:uid="{00000000-0010-0000-0000-00000E000000}" name="AR Doc Amount"/>
    <tableColumn id="15" xr3:uid="{00000000-0010-0000-0000-00000F000000}" name="AP Doc Amount"/>
    <tableColumn id="16" xr3:uid="{00000000-0010-0000-0000-000010000000}" name="Local Currency"/>
    <tableColumn id="17" xr3:uid="{00000000-0010-0000-0000-000011000000}" name="AR Local Amount"/>
    <tableColumn id="18" xr3:uid="{00000000-0010-0000-0000-000012000000}" name="AP Local Amount"/>
    <tableColumn id="19" xr3:uid="{00000000-0010-0000-0000-000013000000}" name="Bank Name"/>
    <tableColumn id="20" xr3:uid="{00000000-0010-0000-0000-000014000000}" name="Payment Status"/>
    <tableColumn id="21" xr3:uid="{00000000-0010-0000-0000-000015000000}" name="Original Match Status"/>
    <tableColumn id="22" xr3:uid="{00000000-0010-0000-0000-000016000000}" name="Mirror Control"/>
    <tableColumn id="23" xr3:uid="{00000000-0010-0000-0000-000017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"/>
  <sheetViews>
    <sheetView showGridLines="0" workbookViewId="0">
      <selection activeCell="F19" sqref="F19"/>
    </sheetView>
  </sheetViews>
  <sheetFormatPr defaultRowHeight="14.5" x14ac:dyDescent="0.35"/>
  <cols>
    <col min="1" max="1" width="26" customWidth="1"/>
    <col min="2" max="8" width="18" customWidth="1"/>
  </cols>
  <sheetData>
    <row r="1" spans="1:8" ht="30" customHeight="1" x14ac:dyDescent="0.35">
      <c r="A1" s="13" t="s">
        <v>0</v>
      </c>
      <c r="B1" s="14"/>
      <c r="C1" s="14"/>
      <c r="D1" s="14"/>
      <c r="E1" s="14"/>
      <c r="F1" s="14"/>
      <c r="G1" s="14"/>
      <c r="H1" s="14"/>
    </row>
    <row r="3" spans="1:8" x14ac:dyDescent="0.35">
      <c r="A3" s="1" t="s">
        <v>1</v>
      </c>
      <c r="B3" s="11" t="s">
        <v>2</v>
      </c>
      <c r="C3" s="12"/>
      <c r="D3" s="12"/>
      <c r="E3" s="12"/>
      <c r="F3" s="12"/>
      <c r="G3" s="12"/>
      <c r="H3" s="12"/>
    </row>
    <row r="4" spans="1:8" x14ac:dyDescent="0.35">
      <c r="A4" s="1" t="s">
        <v>3</v>
      </c>
      <c r="B4" s="11" t="s">
        <v>4</v>
      </c>
      <c r="C4" s="12"/>
      <c r="D4" s="12"/>
      <c r="E4" s="12"/>
      <c r="F4" s="12"/>
      <c r="G4" s="12"/>
      <c r="H4" s="12"/>
    </row>
    <row r="5" spans="1:8" x14ac:dyDescent="0.35">
      <c r="A5" s="1" t="s">
        <v>5</v>
      </c>
      <c r="B5" s="11" t="s">
        <v>6</v>
      </c>
      <c r="C5" s="12"/>
      <c r="D5" s="12"/>
      <c r="E5" s="12"/>
      <c r="F5" s="12"/>
      <c r="G5" s="12"/>
      <c r="H5" s="12"/>
    </row>
    <row r="6" spans="1:8" x14ac:dyDescent="0.35">
      <c r="A6" s="1" t="s">
        <v>7</v>
      </c>
      <c r="B6" s="11" t="s">
        <v>8</v>
      </c>
      <c r="C6" s="12"/>
      <c r="D6" s="12"/>
      <c r="E6" s="12"/>
      <c r="F6" s="12"/>
      <c r="G6" s="12"/>
      <c r="H6" s="12"/>
    </row>
    <row r="7" spans="1:8" x14ac:dyDescent="0.35">
      <c r="A7" s="1" t="s">
        <v>9</v>
      </c>
      <c r="B7" s="11" t="s">
        <v>10</v>
      </c>
      <c r="C7" s="12"/>
      <c r="D7" s="12"/>
      <c r="E7" s="12"/>
      <c r="F7" s="12"/>
      <c r="G7" s="12"/>
      <c r="H7" s="12"/>
    </row>
    <row r="8" spans="1:8" x14ac:dyDescent="0.35">
      <c r="A8" s="1" t="s">
        <v>11</v>
      </c>
      <c r="B8" s="11" t="s">
        <v>12</v>
      </c>
      <c r="C8" s="12"/>
      <c r="D8" s="12"/>
      <c r="E8" s="12"/>
      <c r="F8" s="12"/>
      <c r="G8" s="12"/>
      <c r="H8" s="12"/>
    </row>
    <row r="9" spans="1:8" x14ac:dyDescent="0.35">
      <c r="A9" s="1" t="s">
        <v>13</v>
      </c>
      <c r="B9" s="11" t="s">
        <v>14</v>
      </c>
      <c r="C9" s="12"/>
      <c r="D9" s="12"/>
      <c r="E9" s="12"/>
      <c r="F9" s="12"/>
      <c r="G9" s="12"/>
      <c r="H9" s="12"/>
    </row>
    <row r="10" spans="1:8" x14ac:dyDescent="0.35">
      <c r="A10" s="1" t="s">
        <v>15</v>
      </c>
      <c r="B10" s="11" t="s">
        <v>16</v>
      </c>
      <c r="C10" s="12"/>
      <c r="D10" s="12"/>
      <c r="E10" s="12"/>
      <c r="F10" s="12"/>
      <c r="G10" s="12"/>
      <c r="H10" s="12"/>
    </row>
    <row r="11" spans="1:8" x14ac:dyDescent="0.35">
      <c r="A11" s="1" t="s">
        <v>17</v>
      </c>
      <c r="B11" s="11" t="s">
        <v>18</v>
      </c>
      <c r="C11" s="12"/>
      <c r="D11" s="12"/>
      <c r="E11" s="12"/>
      <c r="F11" s="12"/>
      <c r="G11" s="12"/>
      <c r="H11" s="12"/>
    </row>
    <row r="12" spans="1:8" x14ac:dyDescent="0.35">
      <c r="A12" s="1" t="s">
        <v>19</v>
      </c>
      <c r="B12" s="11" t="s">
        <v>20</v>
      </c>
      <c r="C12" s="12"/>
      <c r="D12" s="12"/>
      <c r="E12" s="12"/>
      <c r="F12" s="12"/>
      <c r="G12" s="12"/>
      <c r="H12" s="12"/>
    </row>
    <row r="13" spans="1:8" x14ac:dyDescent="0.35">
      <c r="A13" s="1" t="s">
        <v>21</v>
      </c>
      <c r="B13" s="11" t="s">
        <v>22</v>
      </c>
      <c r="C13" s="12"/>
      <c r="D13" s="12"/>
      <c r="E13" s="12"/>
      <c r="F13" s="12"/>
      <c r="G13" s="12"/>
      <c r="H13" s="12"/>
    </row>
    <row r="14" spans="1:8" x14ac:dyDescent="0.35">
      <c r="A14" s="1" t="s">
        <v>23</v>
      </c>
      <c r="B14" s="11" t="s">
        <v>24</v>
      </c>
      <c r="C14" s="12"/>
      <c r="D14" s="12"/>
      <c r="E14" s="12"/>
      <c r="F14" s="12"/>
      <c r="G14" s="12"/>
      <c r="H14" s="12"/>
    </row>
  </sheetData>
  <mergeCells count="13">
    <mergeCell ref="A1:H1"/>
    <mergeCell ref="B10:H10"/>
    <mergeCell ref="B3:H3"/>
    <mergeCell ref="B5:H5"/>
    <mergeCell ref="B11:H11"/>
    <mergeCell ref="B8:H8"/>
    <mergeCell ref="B14:H14"/>
    <mergeCell ref="B9:H9"/>
    <mergeCell ref="B13:H13"/>
    <mergeCell ref="B4:H4"/>
    <mergeCell ref="B12:H12"/>
    <mergeCell ref="B6:H6"/>
    <mergeCell ref="B7:H7"/>
  </mergeCells>
  <pageMargins left="0.75" right="0.75" top="1" bottom="1" header="0.5" footer="0.5"/>
  <pageSetup fitToHeight="0"/>
  <headerFooter>
    <oddFooter>&amp;CLTM | SAP-style illustrative output | Bank: DBS Global | Not generated by SAP&amp;RPage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3"/>
  <sheetViews>
    <sheetView showGridLines="0" workbookViewId="0">
      <pane xSplit="12" ySplit="3" topLeftCell="U4" activePane="bottomRight" state="frozen"/>
      <selection pane="topRight"/>
      <selection pane="bottomLeft"/>
      <selection pane="bottomRight" activeCell="U5" sqref="U5"/>
    </sheetView>
  </sheetViews>
  <sheetFormatPr defaultRowHeight="14.5" x14ac:dyDescent="0.35"/>
  <cols>
    <col min="1" max="1" width="21" customWidth="1"/>
    <col min="2" max="3" width="20" customWidth="1"/>
    <col min="4" max="4" width="13" customWidth="1"/>
    <col min="5" max="6" width="14" customWidth="1"/>
    <col min="7" max="7" width="16" customWidth="1"/>
    <col min="8" max="8" width="15" customWidth="1"/>
    <col min="9" max="10" width="29" customWidth="1"/>
    <col min="11" max="11" width="20" customWidth="1"/>
    <col min="12" max="12" width="16" customWidth="1"/>
    <col min="13" max="13" width="13" customWidth="1"/>
    <col min="14" max="15" width="17" customWidth="1"/>
    <col min="16" max="16" width="13" customWidth="1"/>
    <col min="17" max="18" width="17" customWidth="1"/>
    <col min="19" max="20" width="16" customWidth="1"/>
    <col min="21" max="21" width="18" customWidth="1"/>
    <col min="22" max="22" width="16" customWidth="1"/>
    <col min="23" max="23" width="34" customWidth="1"/>
  </cols>
  <sheetData>
    <row r="1" spans="1:23" ht="30" customHeight="1" x14ac:dyDescent="0.35">
      <c r="A1" s="13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3" spans="1:23" ht="36" customHeight="1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48</v>
      </c>
    </row>
    <row r="4" spans="1:23" x14ac:dyDescent="0.35">
      <c r="A4" s="3" t="s">
        <v>49</v>
      </c>
      <c r="B4" s="4" t="s">
        <v>50</v>
      </c>
      <c r="C4" s="4" t="s">
        <v>51</v>
      </c>
      <c r="D4" s="4" t="s">
        <v>52</v>
      </c>
      <c r="E4" s="5">
        <v>46202</v>
      </c>
      <c r="F4" s="5">
        <v>46262</v>
      </c>
      <c r="G4" s="4" t="s">
        <v>53</v>
      </c>
      <c r="H4" s="4" t="s">
        <v>54</v>
      </c>
      <c r="I4" s="3" t="s">
        <v>18</v>
      </c>
      <c r="J4" s="3" t="s">
        <v>20</v>
      </c>
      <c r="K4" s="4" t="s">
        <v>55</v>
      </c>
      <c r="L4" s="4" t="s">
        <v>56</v>
      </c>
      <c r="M4" s="4" t="s">
        <v>57</v>
      </c>
      <c r="N4" s="6">
        <v>39000</v>
      </c>
      <c r="O4" s="6">
        <v>-39000</v>
      </c>
      <c r="P4" s="4" t="s">
        <v>58</v>
      </c>
      <c r="Q4" s="6">
        <v>34054.800000000003</v>
      </c>
      <c r="R4" s="6">
        <v>-34054.800000000003</v>
      </c>
      <c r="S4" s="3" t="s">
        <v>12</v>
      </c>
      <c r="T4" s="3" t="s">
        <v>59</v>
      </c>
      <c r="U4" s="4" t="s">
        <v>60</v>
      </c>
      <c r="V4" s="7" t="str">
        <f t="shared" ref="V4:V13" si="0">IF(AND(ABS(N4+O4)&lt;=0.01,ABS(Q4+R4)&lt;=0.01),"Matched","Exception")</f>
        <v>Matched</v>
      </c>
      <c r="W4" s="8" t="s">
        <v>61</v>
      </c>
    </row>
    <row r="5" spans="1:23" x14ac:dyDescent="0.35">
      <c r="A5" s="3" t="s">
        <v>62</v>
      </c>
      <c r="B5" s="4" t="s">
        <v>63</v>
      </c>
      <c r="C5" s="4" t="s">
        <v>64</v>
      </c>
      <c r="D5" s="4" t="s">
        <v>52</v>
      </c>
      <c r="E5" s="5">
        <v>46202</v>
      </c>
      <c r="F5" s="5">
        <v>46262</v>
      </c>
      <c r="G5" s="4" t="s">
        <v>53</v>
      </c>
      <c r="H5" s="4" t="s">
        <v>54</v>
      </c>
      <c r="I5" s="3" t="s">
        <v>18</v>
      </c>
      <c r="J5" s="3" t="s">
        <v>20</v>
      </c>
      <c r="K5" s="4" t="s">
        <v>65</v>
      </c>
      <c r="L5" s="4" t="s">
        <v>56</v>
      </c>
      <c r="M5" s="4" t="s">
        <v>57</v>
      </c>
      <c r="N5" s="6">
        <v>39000</v>
      </c>
      <c r="O5" s="6">
        <v>-39000</v>
      </c>
      <c r="P5" s="4" t="s">
        <v>58</v>
      </c>
      <c r="Q5" s="6">
        <v>34054.800000000003</v>
      </c>
      <c r="R5" s="6">
        <v>-34054.800000000003</v>
      </c>
      <c r="S5" s="3" t="s">
        <v>12</v>
      </c>
      <c r="T5" s="3" t="s">
        <v>59</v>
      </c>
      <c r="U5" s="4" t="s">
        <v>60</v>
      </c>
      <c r="V5" s="7" t="str">
        <f t="shared" si="0"/>
        <v>Matched</v>
      </c>
      <c r="W5" s="8" t="s">
        <v>61</v>
      </c>
    </row>
    <row r="6" spans="1:23" x14ac:dyDescent="0.35">
      <c r="A6" s="3" t="s">
        <v>66</v>
      </c>
      <c r="B6" s="4" t="s">
        <v>67</v>
      </c>
      <c r="C6" s="4" t="s">
        <v>68</v>
      </c>
      <c r="D6" s="4" t="s">
        <v>52</v>
      </c>
      <c r="E6" s="5">
        <v>45624</v>
      </c>
      <c r="F6" s="5">
        <v>45684</v>
      </c>
      <c r="G6" s="4" t="s">
        <v>53</v>
      </c>
      <c r="H6" s="4" t="s">
        <v>54</v>
      </c>
      <c r="I6" s="3" t="s">
        <v>18</v>
      </c>
      <c r="J6" s="3" t="s">
        <v>20</v>
      </c>
      <c r="K6" s="4" t="s">
        <v>69</v>
      </c>
      <c r="L6" s="4" t="s">
        <v>56</v>
      </c>
      <c r="M6" s="4" t="s">
        <v>57</v>
      </c>
      <c r="N6" s="6">
        <v>68739.02</v>
      </c>
      <c r="O6" s="6">
        <v>-68739.02</v>
      </c>
      <c r="P6" s="4" t="s">
        <v>58</v>
      </c>
      <c r="Q6" s="6">
        <v>58572.52</v>
      </c>
      <c r="R6" s="6">
        <v>-58572.52</v>
      </c>
      <c r="S6" s="3" t="s">
        <v>12</v>
      </c>
      <c r="T6" s="3" t="s">
        <v>59</v>
      </c>
      <c r="U6" s="4" t="s">
        <v>60</v>
      </c>
      <c r="V6" s="7" t="str">
        <f t="shared" si="0"/>
        <v>Matched</v>
      </c>
      <c r="W6" s="8" t="s">
        <v>61</v>
      </c>
    </row>
    <row r="7" spans="1:23" x14ac:dyDescent="0.35">
      <c r="A7" s="3" t="s">
        <v>70</v>
      </c>
      <c r="B7" s="4" t="s">
        <v>71</v>
      </c>
      <c r="C7" s="4" t="s">
        <v>72</v>
      </c>
      <c r="D7" s="4" t="s">
        <v>52</v>
      </c>
      <c r="E7" s="5">
        <v>45624</v>
      </c>
      <c r="F7" s="5">
        <v>45684</v>
      </c>
      <c r="G7" s="4" t="s">
        <v>53</v>
      </c>
      <c r="H7" s="4" t="s">
        <v>54</v>
      </c>
      <c r="I7" s="3" t="s">
        <v>18</v>
      </c>
      <c r="J7" s="3" t="s">
        <v>20</v>
      </c>
      <c r="K7" s="4" t="s">
        <v>73</v>
      </c>
      <c r="L7" s="4" t="s">
        <v>56</v>
      </c>
      <c r="M7" s="4" t="s">
        <v>57</v>
      </c>
      <c r="N7" s="6">
        <v>37176.160000000003</v>
      </c>
      <c r="O7" s="6">
        <v>-37176.160000000003</v>
      </c>
      <c r="P7" s="4" t="s">
        <v>58</v>
      </c>
      <c r="Q7" s="6">
        <v>31677.81</v>
      </c>
      <c r="R7" s="6">
        <v>-31677.81</v>
      </c>
      <c r="S7" s="3" t="s">
        <v>12</v>
      </c>
      <c r="T7" s="3" t="s">
        <v>59</v>
      </c>
      <c r="U7" s="4" t="s">
        <v>60</v>
      </c>
      <c r="V7" s="7" t="str">
        <f t="shared" si="0"/>
        <v>Matched</v>
      </c>
      <c r="W7" s="8" t="s">
        <v>61</v>
      </c>
    </row>
    <row r="8" spans="1:23" x14ac:dyDescent="0.35">
      <c r="A8" s="3" t="s">
        <v>74</v>
      </c>
      <c r="B8" s="4" t="s">
        <v>75</v>
      </c>
      <c r="C8" s="4" t="s">
        <v>76</v>
      </c>
      <c r="D8" s="4" t="s">
        <v>52</v>
      </c>
      <c r="E8" s="5">
        <v>45624</v>
      </c>
      <c r="F8" s="5">
        <v>45684</v>
      </c>
      <c r="G8" s="4" t="s">
        <v>53</v>
      </c>
      <c r="H8" s="4" t="s">
        <v>54</v>
      </c>
      <c r="I8" s="3" t="s">
        <v>18</v>
      </c>
      <c r="J8" s="3" t="s">
        <v>20</v>
      </c>
      <c r="K8" s="4" t="s">
        <v>77</v>
      </c>
      <c r="L8" s="4" t="s">
        <v>56</v>
      </c>
      <c r="M8" s="4" t="s">
        <v>57</v>
      </c>
      <c r="N8" s="6">
        <v>44879.86</v>
      </c>
      <c r="O8" s="6">
        <v>-44879.86</v>
      </c>
      <c r="P8" s="4" t="s">
        <v>58</v>
      </c>
      <c r="Q8" s="6">
        <v>38242.129999999997</v>
      </c>
      <c r="R8" s="6">
        <v>-38242.129999999997</v>
      </c>
      <c r="S8" s="3" t="s">
        <v>12</v>
      </c>
      <c r="T8" s="3" t="s">
        <v>59</v>
      </c>
      <c r="U8" s="4" t="s">
        <v>60</v>
      </c>
      <c r="V8" s="7" t="str">
        <f t="shared" si="0"/>
        <v>Matched</v>
      </c>
      <c r="W8" s="8" t="s">
        <v>61</v>
      </c>
    </row>
    <row r="9" spans="1:23" x14ac:dyDescent="0.35">
      <c r="A9" s="3" t="s">
        <v>78</v>
      </c>
      <c r="B9" s="4" t="s">
        <v>79</v>
      </c>
      <c r="C9" s="4" t="s">
        <v>80</v>
      </c>
      <c r="D9" s="4" t="s">
        <v>52</v>
      </c>
      <c r="E9" s="5">
        <v>45632</v>
      </c>
      <c r="F9" s="5">
        <v>45692</v>
      </c>
      <c r="G9" s="4" t="s">
        <v>53</v>
      </c>
      <c r="H9" s="4" t="s">
        <v>54</v>
      </c>
      <c r="I9" s="3" t="s">
        <v>18</v>
      </c>
      <c r="J9" s="3" t="s">
        <v>20</v>
      </c>
      <c r="K9" s="4" t="s">
        <v>81</v>
      </c>
      <c r="L9" s="4" t="s">
        <v>56</v>
      </c>
      <c r="M9" s="4" t="s">
        <v>57</v>
      </c>
      <c r="N9" s="6">
        <v>73192.67</v>
      </c>
      <c r="O9" s="6">
        <v>-73192.67</v>
      </c>
      <c r="P9" s="4" t="s">
        <v>58</v>
      </c>
      <c r="Q9" s="6">
        <v>62367.47</v>
      </c>
      <c r="R9" s="6">
        <v>-62367.47</v>
      </c>
      <c r="S9" s="3" t="s">
        <v>12</v>
      </c>
      <c r="T9" s="3" t="s">
        <v>59</v>
      </c>
      <c r="U9" s="4" t="s">
        <v>60</v>
      </c>
      <c r="V9" s="7" t="str">
        <f t="shared" si="0"/>
        <v>Matched</v>
      </c>
      <c r="W9" s="8" t="s">
        <v>61</v>
      </c>
    </row>
    <row r="10" spans="1:23" x14ac:dyDescent="0.35">
      <c r="A10" s="3" t="s">
        <v>82</v>
      </c>
      <c r="B10" s="4" t="s">
        <v>83</v>
      </c>
      <c r="C10" s="4" t="s">
        <v>84</v>
      </c>
      <c r="D10" s="4" t="s">
        <v>52</v>
      </c>
      <c r="E10" s="5">
        <v>45632</v>
      </c>
      <c r="F10" s="5">
        <v>45692</v>
      </c>
      <c r="G10" s="4" t="s">
        <v>53</v>
      </c>
      <c r="H10" s="4" t="s">
        <v>54</v>
      </c>
      <c r="I10" s="3" t="s">
        <v>18</v>
      </c>
      <c r="J10" s="3" t="s">
        <v>20</v>
      </c>
      <c r="K10" s="4" t="s">
        <v>85</v>
      </c>
      <c r="L10" s="4" t="s">
        <v>56</v>
      </c>
      <c r="M10" s="4" t="s">
        <v>57</v>
      </c>
      <c r="N10" s="6">
        <v>118273.38</v>
      </c>
      <c r="O10" s="6">
        <v>-118273.38</v>
      </c>
      <c r="P10" s="4" t="s">
        <v>58</v>
      </c>
      <c r="Q10" s="6">
        <v>100780.75</v>
      </c>
      <c r="R10" s="6">
        <v>-100780.75</v>
      </c>
      <c r="S10" s="3" t="s">
        <v>12</v>
      </c>
      <c r="T10" s="3" t="s">
        <v>59</v>
      </c>
      <c r="U10" s="4" t="s">
        <v>60</v>
      </c>
      <c r="V10" s="7" t="str">
        <f t="shared" si="0"/>
        <v>Matched</v>
      </c>
      <c r="W10" s="8" t="s">
        <v>61</v>
      </c>
    </row>
    <row r="11" spans="1:23" x14ac:dyDescent="0.35">
      <c r="A11" s="3" t="s">
        <v>86</v>
      </c>
      <c r="B11" s="4" t="s">
        <v>87</v>
      </c>
      <c r="C11" s="4" t="s">
        <v>88</v>
      </c>
      <c r="D11" s="4" t="s">
        <v>52</v>
      </c>
      <c r="E11" s="5">
        <v>45632</v>
      </c>
      <c r="F11" s="5">
        <v>45692</v>
      </c>
      <c r="G11" s="4" t="s">
        <v>53</v>
      </c>
      <c r="H11" s="4" t="s">
        <v>54</v>
      </c>
      <c r="I11" s="3" t="s">
        <v>18</v>
      </c>
      <c r="J11" s="3" t="s">
        <v>20</v>
      </c>
      <c r="K11" s="4" t="s">
        <v>89</v>
      </c>
      <c r="L11" s="4" t="s">
        <v>56</v>
      </c>
      <c r="M11" s="4" t="s">
        <v>57</v>
      </c>
      <c r="N11" s="6">
        <v>43374.03</v>
      </c>
      <c r="O11" s="6">
        <v>-43374.03</v>
      </c>
      <c r="P11" s="4" t="s">
        <v>58</v>
      </c>
      <c r="Q11" s="6">
        <v>36959.01</v>
      </c>
      <c r="R11" s="6">
        <v>-36959.01</v>
      </c>
      <c r="S11" s="3" t="s">
        <v>12</v>
      </c>
      <c r="T11" s="3" t="s">
        <v>59</v>
      </c>
      <c r="U11" s="4" t="s">
        <v>60</v>
      </c>
      <c r="V11" s="7" t="str">
        <f t="shared" si="0"/>
        <v>Matched</v>
      </c>
      <c r="W11" s="8" t="s">
        <v>61</v>
      </c>
    </row>
    <row r="12" spans="1:23" x14ac:dyDescent="0.35">
      <c r="A12" s="3" t="s">
        <v>90</v>
      </c>
      <c r="B12" s="4" t="s">
        <v>91</v>
      </c>
      <c r="C12" s="4" t="s">
        <v>92</v>
      </c>
      <c r="D12" s="4" t="s">
        <v>52</v>
      </c>
      <c r="E12" s="5">
        <v>45635</v>
      </c>
      <c r="F12" s="5">
        <v>45695</v>
      </c>
      <c r="G12" s="4" t="s">
        <v>53</v>
      </c>
      <c r="H12" s="4" t="s">
        <v>54</v>
      </c>
      <c r="I12" s="3" t="s">
        <v>18</v>
      </c>
      <c r="J12" s="3" t="s">
        <v>20</v>
      </c>
      <c r="K12" s="4" t="s">
        <v>93</v>
      </c>
      <c r="L12" s="4" t="s">
        <v>56</v>
      </c>
      <c r="M12" s="4" t="s">
        <v>57</v>
      </c>
      <c r="N12" s="6">
        <v>184379.74</v>
      </c>
      <c r="O12" s="6">
        <v>-184379.74</v>
      </c>
      <c r="P12" s="4" t="s">
        <v>58</v>
      </c>
      <c r="Q12" s="6">
        <v>157109.98000000001</v>
      </c>
      <c r="R12" s="6">
        <v>-157109.98000000001</v>
      </c>
      <c r="S12" s="3" t="s">
        <v>12</v>
      </c>
      <c r="T12" s="3" t="s">
        <v>59</v>
      </c>
      <c r="U12" s="4" t="s">
        <v>60</v>
      </c>
      <c r="V12" s="7" t="str">
        <f t="shared" si="0"/>
        <v>Matched</v>
      </c>
      <c r="W12" s="8" t="s">
        <v>61</v>
      </c>
    </row>
    <row r="13" spans="1:23" x14ac:dyDescent="0.35">
      <c r="A13" s="3" t="s">
        <v>94</v>
      </c>
      <c r="B13" s="4" t="s">
        <v>95</v>
      </c>
      <c r="C13" s="4" t="s">
        <v>96</v>
      </c>
      <c r="D13" s="4" t="s">
        <v>52</v>
      </c>
      <c r="E13" s="5">
        <v>45635</v>
      </c>
      <c r="F13" s="5">
        <v>45695</v>
      </c>
      <c r="G13" s="4" t="s">
        <v>53</v>
      </c>
      <c r="H13" s="4" t="s">
        <v>54</v>
      </c>
      <c r="I13" s="3" t="s">
        <v>18</v>
      </c>
      <c r="J13" s="3" t="s">
        <v>20</v>
      </c>
      <c r="K13" s="4" t="s">
        <v>97</v>
      </c>
      <c r="L13" s="4" t="s">
        <v>56</v>
      </c>
      <c r="M13" s="4" t="s">
        <v>57</v>
      </c>
      <c r="N13" s="6">
        <v>11923.77</v>
      </c>
      <c r="O13" s="6">
        <v>-11923.77</v>
      </c>
      <c r="P13" s="4" t="s">
        <v>58</v>
      </c>
      <c r="Q13" s="6">
        <v>10160.24</v>
      </c>
      <c r="R13" s="6">
        <v>-10160.24</v>
      </c>
      <c r="S13" s="3" t="s">
        <v>12</v>
      </c>
      <c r="T13" s="3" t="s">
        <v>59</v>
      </c>
      <c r="U13" s="4" t="s">
        <v>60</v>
      </c>
      <c r="V13" s="7" t="str">
        <f t="shared" si="0"/>
        <v>Matched</v>
      </c>
      <c r="W13" s="8" t="s">
        <v>61</v>
      </c>
    </row>
  </sheetData>
  <mergeCells count="1">
    <mergeCell ref="A1:W1"/>
  </mergeCells>
  <pageMargins left="0.75" right="0.75" top="1" bottom="1" header="0.5" footer="0.5"/>
  <pageSetup fitToHeight="0"/>
  <headerFooter>
    <oddFooter>&amp;CLTM | SAP-style illustrative output | Bank: DBS Global | Not generated by SAP&amp;RPage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3"/>
  <sheetViews>
    <sheetView showGridLines="0" workbookViewId="0">
      <pane xSplit="7" ySplit="3" topLeftCell="J4" activePane="bottomRight" state="frozen"/>
      <selection pane="topRight"/>
      <selection pane="bottomLeft"/>
      <selection pane="bottomRight" activeCell="P5" sqref="P5"/>
    </sheetView>
  </sheetViews>
  <sheetFormatPr defaultRowHeight="14.5" x14ac:dyDescent="0.35"/>
  <cols>
    <col min="1" max="1" width="20" customWidth="1"/>
    <col min="2" max="2" width="16" customWidth="1"/>
    <col min="3" max="3" width="13" customWidth="1"/>
    <col min="4" max="5" width="14" customWidth="1"/>
    <col min="6" max="6" width="20" customWidth="1"/>
    <col min="7" max="7" width="16" customWidth="1"/>
    <col min="8" max="8" width="13" customWidth="1"/>
    <col min="9" max="9" width="17" customWidth="1"/>
    <col min="10" max="10" width="13" customWidth="1"/>
    <col min="11" max="11" width="17" customWidth="1"/>
    <col min="12" max="12" width="20" customWidth="1"/>
    <col min="13" max="13" width="15" customWidth="1"/>
    <col min="14" max="14" width="18" customWidth="1"/>
    <col min="15" max="16" width="20" customWidth="1"/>
  </cols>
  <sheetData>
    <row r="1" spans="1:16" ht="30" customHeight="1" x14ac:dyDescent="0.35">
      <c r="A1" s="13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6" ht="36" customHeight="1" x14ac:dyDescent="0.35">
      <c r="A3" s="2" t="s">
        <v>27</v>
      </c>
      <c r="B3" s="2" t="s">
        <v>32</v>
      </c>
      <c r="C3" s="2" t="s">
        <v>29</v>
      </c>
      <c r="D3" s="2" t="s">
        <v>30</v>
      </c>
      <c r="E3" s="2" t="s">
        <v>31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41</v>
      </c>
      <c r="K3" s="2" t="s">
        <v>42</v>
      </c>
      <c r="L3" s="2" t="s">
        <v>28</v>
      </c>
      <c r="M3" s="2" t="s">
        <v>99</v>
      </c>
      <c r="N3" s="2" t="s">
        <v>100</v>
      </c>
      <c r="O3" s="2" t="s">
        <v>101</v>
      </c>
      <c r="P3" s="2" t="s">
        <v>102</v>
      </c>
    </row>
    <row r="4" spans="1:16" x14ac:dyDescent="0.35">
      <c r="A4" s="4" t="s">
        <v>50</v>
      </c>
      <c r="B4" s="4" t="s">
        <v>53</v>
      </c>
      <c r="C4" s="4" t="s">
        <v>52</v>
      </c>
      <c r="D4" s="5">
        <v>46202</v>
      </c>
      <c r="E4" s="5">
        <v>46262</v>
      </c>
      <c r="F4" s="4" t="s">
        <v>55</v>
      </c>
      <c r="G4" s="4" t="s">
        <v>56</v>
      </c>
      <c r="H4" s="4" t="s">
        <v>57</v>
      </c>
      <c r="I4" s="6">
        <v>39000</v>
      </c>
      <c r="J4" s="4" t="s">
        <v>58</v>
      </c>
      <c r="K4" s="6">
        <v>34054.800000000003</v>
      </c>
      <c r="L4" s="4" t="s">
        <v>51</v>
      </c>
      <c r="M4" s="4" t="s">
        <v>54</v>
      </c>
      <c r="N4" s="4" t="s">
        <v>60</v>
      </c>
      <c r="O4" s="4" t="s">
        <v>103</v>
      </c>
      <c r="P4" s="4" t="s">
        <v>55</v>
      </c>
    </row>
    <row r="5" spans="1:16" x14ac:dyDescent="0.35">
      <c r="A5" s="4" t="s">
        <v>63</v>
      </c>
      <c r="B5" s="4" t="s">
        <v>53</v>
      </c>
      <c r="C5" s="4" t="s">
        <v>52</v>
      </c>
      <c r="D5" s="5">
        <v>46202</v>
      </c>
      <c r="E5" s="5">
        <v>46262</v>
      </c>
      <c r="F5" s="4" t="s">
        <v>65</v>
      </c>
      <c r="G5" s="4" t="s">
        <v>56</v>
      </c>
      <c r="H5" s="4" t="s">
        <v>57</v>
      </c>
      <c r="I5" s="6">
        <v>39000</v>
      </c>
      <c r="J5" s="4" t="s">
        <v>58</v>
      </c>
      <c r="K5" s="6">
        <v>34054.800000000003</v>
      </c>
      <c r="L5" s="4" t="s">
        <v>64</v>
      </c>
      <c r="M5" s="4" t="s">
        <v>54</v>
      </c>
      <c r="N5" s="4" t="s">
        <v>60</v>
      </c>
      <c r="O5" s="4" t="s">
        <v>103</v>
      </c>
      <c r="P5" s="4" t="s">
        <v>65</v>
      </c>
    </row>
    <row r="6" spans="1:16" x14ac:dyDescent="0.35">
      <c r="A6" s="4" t="s">
        <v>67</v>
      </c>
      <c r="B6" s="4" t="s">
        <v>53</v>
      </c>
      <c r="C6" s="4" t="s">
        <v>52</v>
      </c>
      <c r="D6" s="5">
        <v>45624</v>
      </c>
      <c r="E6" s="5">
        <v>45684</v>
      </c>
      <c r="F6" s="4" t="s">
        <v>69</v>
      </c>
      <c r="G6" s="4" t="s">
        <v>56</v>
      </c>
      <c r="H6" s="4" t="s">
        <v>57</v>
      </c>
      <c r="I6" s="6">
        <v>68739.02</v>
      </c>
      <c r="J6" s="4" t="s">
        <v>58</v>
      </c>
      <c r="K6" s="6">
        <v>58572.52</v>
      </c>
      <c r="L6" s="4" t="s">
        <v>68</v>
      </c>
      <c r="M6" s="4" t="s">
        <v>54</v>
      </c>
      <c r="N6" s="4" t="s">
        <v>60</v>
      </c>
      <c r="O6" s="4"/>
      <c r="P6" s="4" t="s">
        <v>69</v>
      </c>
    </row>
    <row r="7" spans="1:16" x14ac:dyDescent="0.35">
      <c r="A7" s="4" t="s">
        <v>71</v>
      </c>
      <c r="B7" s="4" t="s">
        <v>53</v>
      </c>
      <c r="C7" s="4" t="s">
        <v>52</v>
      </c>
      <c r="D7" s="5">
        <v>45624</v>
      </c>
      <c r="E7" s="5">
        <v>45684</v>
      </c>
      <c r="F7" s="4" t="s">
        <v>73</v>
      </c>
      <c r="G7" s="4" t="s">
        <v>56</v>
      </c>
      <c r="H7" s="4" t="s">
        <v>57</v>
      </c>
      <c r="I7" s="6">
        <v>37176.160000000003</v>
      </c>
      <c r="J7" s="4" t="s">
        <v>58</v>
      </c>
      <c r="K7" s="6">
        <v>31677.81</v>
      </c>
      <c r="L7" s="4" t="s">
        <v>72</v>
      </c>
      <c r="M7" s="4" t="s">
        <v>54</v>
      </c>
      <c r="N7" s="4" t="s">
        <v>60</v>
      </c>
      <c r="O7" s="4"/>
      <c r="P7" s="4" t="s">
        <v>73</v>
      </c>
    </row>
    <row r="8" spans="1:16" x14ac:dyDescent="0.35">
      <c r="A8" s="4" t="s">
        <v>75</v>
      </c>
      <c r="B8" s="4" t="s">
        <v>53</v>
      </c>
      <c r="C8" s="4" t="s">
        <v>52</v>
      </c>
      <c r="D8" s="5">
        <v>45624</v>
      </c>
      <c r="E8" s="5">
        <v>45684</v>
      </c>
      <c r="F8" s="4" t="s">
        <v>77</v>
      </c>
      <c r="G8" s="4" t="s">
        <v>56</v>
      </c>
      <c r="H8" s="4" t="s">
        <v>57</v>
      </c>
      <c r="I8" s="6">
        <v>44879.86</v>
      </c>
      <c r="J8" s="4" t="s">
        <v>58</v>
      </c>
      <c r="K8" s="6">
        <v>38242.129999999997</v>
      </c>
      <c r="L8" s="4" t="s">
        <v>76</v>
      </c>
      <c r="M8" s="4" t="s">
        <v>54</v>
      </c>
      <c r="N8" s="4" t="s">
        <v>60</v>
      </c>
      <c r="O8" s="4"/>
      <c r="P8" s="4" t="s">
        <v>77</v>
      </c>
    </row>
    <row r="9" spans="1:16" x14ac:dyDescent="0.35">
      <c r="A9" s="4" t="s">
        <v>79</v>
      </c>
      <c r="B9" s="4" t="s">
        <v>53</v>
      </c>
      <c r="C9" s="4" t="s">
        <v>52</v>
      </c>
      <c r="D9" s="5">
        <v>45632</v>
      </c>
      <c r="E9" s="5">
        <v>45692</v>
      </c>
      <c r="F9" s="4" t="s">
        <v>81</v>
      </c>
      <c r="G9" s="4" t="s">
        <v>56</v>
      </c>
      <c r="H9" s="4" t="s">
        <v>57</v>
      </c>
      <c r="I9" s="6">
        <v>73192.67</v>
      </c>
      <c r="J9" s="4" t="s">
        <v>58</v>
      </c>
      <c r="K9" s="6">
        <v>62367.47</v>
      </c>
      <c r="L9" s="4" t="s">
        <v>80</v>
      </c>
      <c r="M9" s="4" t="s">
        <v>54</v>
      </c>
      <c r="N9" s="4" t="s">
        <v>60</v>
      </c>
      <c r="O9" s="4"/>
      <c r="P9" s="4" t="s">
        <v>81</v>
      </c>
    </row>
    <row r="10" spans="1:16" x14ac:dyDescent="0.35">
      <c r="A10" s="4" t="s">
        <v>83</v>
      </c>
      <c r="B10" s="4" t="s">
        <v>53</v>
      </c>
      <c r="C10" s="4" t="s">
        <v>52</v>
      </c>
      <c r="D10" s="5">
        <v>45632</v>
      </c>
      <c r="E10" s="5">
        <v>45692</v>
      </c>
      <c r="F10" s="4" t="s">
        <v>85</v>
      </c>
      <c r="G10" s="4" t="s">
        <v>56</v>
      </c>
      <c r="H10" s="4" t="s">
        <v>57</v>
      </c>
      <c r="I10" s="6">
        <v>118273.38</v>
      </c>
      <c r="J10" s="4" t="s">
        <v>58</v>
      </c>
      <c r="K10" s="6">
        <v>100780.75</v>
      </c>
      <c r="L10" s="4" t="s">
        <v>84</v>
      </c>
      <c r="M10" s="4" t="s">
        <v>54</v>
      </c>
      <c r="N10" s="4" t="s">
        <v>60</v>
      </c>
      <c r="O10" s="4"/>
      <c r="P10" s="4" t="s">
        <v>85</v>
      </c>
    </row>
    <row r="11" spans="1:16" x14ac:dyDescent="0.35">
      <c r="A11" s="4" t="s">
        <v>87</v>
      </c>
      <c r="B11" s="4" t="s">
        <v>53</v>
      </c>
      <c r="C11" s="4" t="s">
        <v>52</v>
      </c>
      <c r="D11" s="5">
        <v>45632</v>
      </c>
      <c r="E11" s="5">
        <v>45692</v>
      </c>
      <c r="F11" s="4" t="s">
        <v>89</v>
      </c>
      <c r="G11" s="4" t="s">
        <v>56</v>
      </c>
      <c r="H11" s="4" t="s">
        <v>57</v>
      </c>
      <c r="I11" s="6">
        <v>43374.03</v>
      </c>
      <c r="J11" s="4" t="s">
        <v>58</v>
      </c>
      <c r="K11" s="6">
        <v>36959.01</v>
      </c>
      <c r="L11" s="4" t="s">
        <v>88</v>
      </c>
      <c r="M11" s="4" t="s">
        <v>54</v>
      </c>
      <c r="N11" s="4" t="s">
        <v>60</v>
      </c>
      <c r="O11" s="4"/>
      <c r="P11" s="4" t="s">
        <v>89</v>
      </c>
    </row>
    <row r="12" spans="1:16" x14ac:dyDescent="0.35">
      <c r="A12" s="4" t="s">
        <v>91</v>
      </c>
      <c r="B12" s="4" t="s">
        <v>53</v>
      </c>
      <c r="C12" s="4" t="s">
        <v>52</v>
      </c>
      <c r="D12" s="5">
        <v>45635</v>
      </c>
      <c r="E12" s="5">
        <v>45695</v>
      </c>
      <c r="F12" s="4" t="s">
        <v>93</v>
      </c>
      <c r="G12" s="4" t="s">
        <v>56</v>
      </c>
      <c r="H12" s="4" t="s">
        <v>57</v>
      </c>
      <c r="I12" s="6">
        <v>184379.74</v>
      </c>
      <c r="J12" s="4" t="s">
        <v>58</v>
      </c>
      <c r="K12" s="6">
        <v>157109.98000000001</v>
      </c>
      <c r="L12" s="4" t="s">
        <v>92</v>
      </c>
      <c r="M12" s="4" t="s">
        <v>54</v>
      </c>
      <c r="N12" s="4" t="s">
        <v>60</v>
      </c>
      <c r="O12" s="4"/>
      <c r="P12" s="4" t="s">
        <v>93</v>
      </c>
    </row>
    <row r="13" spans="1:16" x14ac:dyDescent="0.35">
      <c r="A13" s="4" t="s">
        <v>95</v>
      </c>
      <c r="B13" s="4" t="s">
        <v>53</v>
      </c>
      <c r="C13" s="4" t="s">
        <v>52</v>
      </c>
      <c r="D13" s="5">
        <v>45635</v>
      </c>
      <c r="E13" s="5">
        <v>45695</v>
      </c>
      <c r="F13" s="4" t="s">
        <v>97</v>
      </c>
      <c r="G13" s="4" t="s">
        <v>56</v>
      </c>
      <c r="H13" s="4" t="s">
        <v>57</v>
      </c>
      <c r="I13" s="6">
        <v>11923.77</v>
      </c>
      <c r="J13" s="4" t="s">
        <v>58</v>
      </c>
      <c r="K13" s="6">
        <v>10160.24</v>
      </c>
      <c r="L13" s="4" t="s">
        <v>96</v>
      </c>
      <c r="M13" s="4" t="s">
        <v>54</v>
      </c>
      <c r="N13" s="4" t="s">
        <v>60</v>
      </c>
      <c r="O13" s="4"/>
      <c r="P13" s="4" t="s">
        <v>97</v>
      </c>
    </row>
  </sheetData>
  <mergeCells count="1">
    <mergeCell ref="A1:P1"/>
  </mergeCells>
  <pageMargins left="0.75" right="0.75" top="1" bottom="1" header="0.5" footer="0.5"/>
  <pageSetup fitToHeight="0"/>
  <headerFooter>
    <oddFooter>&amp;CLTM | SAP-style illustrative output | Bank: DBS Global | Not generated by SAP&amp;RPage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3"/>
  <sheetViews>
    <sheetView showGridLines="0" workbookViewId="0">
      <pane xSplit="7" ySplit="3" topLeftCell="H4" activePane="bottomRight" state="frozen"/>
      <selection pane="topRight"/>
      <selection pane="bottomLeft"/>
      <selection pane="bottomRight" activeCell="N9" sqref="N9"/>
    </sheetView>
  </sheetViews>
  <sheetFormatPr defaultRowHeight="14.5" x14ac:dyDescent="0.35"/>
  <cols>
    <col min="1" max="1" width="20" customWidth="1"/>
    <col min="2" max="2" width="15" customWidth="1"/>
    <col min="3" max="3" width="13" customWidth="1"/>
    <col min="4" max="5" width="14" customWidth="1"/>
    <col min="6" max="6" width="20" customWidth="1"/>
    <col min="7" max="7" width="16" customWidth="1"/>
    <col min="8" max="8" width="13" customWidth="1"/>
    <col min="9" max="9" width="17" customWidth="1"/>
    <col min="10" max="10" width="13" customWidth="1"/>
    <col min="11" max="11" width="17" customWidth="1"/>
    <col min="12" max="12" width="20" customWidth="1"/>
    <col min="13" max="13" width="16" customWidth="1"/>
    <col min="14" max="14" width="15" customWidth="1"/>
  </cols>
  <sheetData>
    <row r="1" spans="1:14" ht="30" customHeight="1" x14ac:dyDescent="0.35">
      <c r="A1" s="13" t="s">
        <v>104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36" customHeight="1" x14ac:dyDescent="0.35">
      <c r="A3" s="2" t="s">
        <v>28</v>
      </c>
      <c r="B3" s="2" t="s">
        <v>33</v>
      </c>
      <c r="C3" s="2" t="s">
        <v>29</v>
      </c>
      <c r="D3" s="2" t="s">
        <v>30</v>
      </c>
      <c r="E3" s="2" t="s">
        <v>31</v>
      </c>
      <c r="F3" s="2" t="s">
        <v>36</v>
      </c>
      <c r="G3" s="2" t="s">
        <v>37</v>
      </c>
      <c r="H3" s="2" t="s">
        <v>38</v>
      </c>
      <c r="I3" s="2" t="s">
        <v>40</v>
      </c>
      <c r="J3" s="2" t="s">
        <v>41</v>
      </c>
      <c r="K3" s="2" t="s">
        <v>43</v>
      </c>
      <c r="L3" s="2" t="s">
        <v>105</v>
      </c>
      <c r="M3" s="2" t="s">
        <v>44</v>
      </c>
      <c r="N3" s="2" t="s">
        <v>106</v>
      </c>
    </row>
    <row r="4" spans="1:14" x14ac:dyDescent="0.35">
      <c r="A4" s="4" t="s">
        <v>51</v>
      </c>
      <c r="B4" s="4" t="s">
        <v>54</v>
      </c>
      <c r="C4" s="4" t="s">
        <v>107</v>
      </c>
      <c r="D4" s="5">
        <v>46202</v>
      </c>
      <c r="E4" s="5">
        <v>46262</v>
      </c>
      <c r="F4" s="4" t="s">
        <v>55</v>
      </c>
      <c r="G4" s="4" t="s">
        <v>56</v>
      </c>
      <c r="H4" s="4" t="s">
        <v>57</v>
      </c>
      <c r="I4" s="6">
        <v>-39000</v>
      </c>
      <c r="J4" s="4" t="s">
        <v>58</v>
      </c>
      <c r="K4" s="6">
        <v>-34054.800000000003</v>
      </c>
      <c r="L4" s="4" t="s">
        <v>50</v>
      </c>
      <c r="M4" s="4" t="s">
        <v>12</v>
      </c>
      <c r="N4" s="4" t="s">
        <v>108</v>
      </c>
    </row>
    <row r="5" spans="1:14" x14ac:dyDescent="0.35">
      <c r="A5" s="4" t="s">
        <v>64</v>
      </c>
      <c r="B5" s="4" t="s">
        <v>54</v>
      </c>
      <c r="C5" s="4" t="s">
        <v>107</v>
      </c>
      <c r="D5" s="5">
        <v>46202</v>
      </c>
      <c r="E5" s="5">
        <v>46262</v>
      </c>
      <c r="F5" s="4" t="s">
        <v>65</v>
      </c>
      <c r="G5" s="4" t="s">
        <v>56</v>
      </c>
      <c r="H5" s="4" t="s">
        <v>57</v>
      </c>
      <c r="I5" s="6">
        <v>-39000</v>
      </c>
      <c r="J5" s="4" t="s">
        <v>58</v>
      </c>
      <c r="K5" s="6">
        <v>-34054.800000000003</v>
      </c>
      <c r="L5" s="4" t="s">
        <v>63</v>
      </c>
      <c r="M5" s="4" t="s">
        <v>12</v>
      </c>
      <c r="N5" s="4" t="s">
        <v>108</v>
      </c>
    </row>
    <row r="6" spans="1:14" x14ac:dyDescent="0.35">
      <c r="A6" s="4" t="s">
        <v>68</v>
      </c>
      <c r="B6" s="4" t="s">
        <v>54</v>
      </c>
      <c r="C6" s="4" t="s">
        <v>107</v>
      </c>
      <c r="D6" s="5">
        <v>45624</v>
      </c>
      <c r="E6" s="5">
        <v>45684</v>
      </c>
      <c r="F6" s="4" t="s">
        <v>69</v>
      </c>
      <c r="G6" s="4" t="s">
        <v>56</v>
      </c>
      <c r="H6" s="4" t="s">
        <v>57</v>
      </c>
      <c r="I6" s="6">
        <v>-68739.02</v>
      </c>
      <c r="J6" s="4" t="s">
        <v>58</v>
      </c>
      <c r="K6" s="6">
        <v>-58572.52</v>
      </c>
      <c r="L6" s="4" t="s">
        <v>67</v>
      </c>
      <c r="M6" s="4" t="s">
        <v>12</v>
      </c>
      <c r="N6" s="4" t="s">
        <v>108</v>
      </c>
    </row>
    <row r="7" spans="1:14" x14ac:dyDescent="0.35">
      <c r="A7" s="4" t="s">
        <v>72</v>
      </c>
      <c r="B7" s="4" t="s">
        <v>54</v>
      </c>
      <c r="C7" s="4" t="s">
        <v>107</v>
      </c>
      <c r="D7" s="5">
        <v>45624</v>
      </c>
      <c r="E7" s="5">
        <v>45684</v>
      </c>
      <c r="F7" s="4" t="s">
        <v>73</v>
      </c>
      <c r="G7" s="4" t="s">
        <v>56</v>
      </c>
      <c r="H7" s="4" t="s">
        <v>57</v>
      </c>
      <c r="I7" s="6">
        <v>-37176.160000000003</v>
      </c>
      <c r="J7" s="4" t="s">
        <v>58</v>
      </c>
      <c r="K7" s="6">
        <v>-31677.81</v>
      </c>
      <c r="L7" s="4" t="s">
        <v>71</v>
      </c>
      <c r="M7" s="4" t="s">
        <v>12</v>
      </c>
      <c r="N7" s="4" t="s">
        <v>108</v>
      </c>
    </row>
    <row r="8" spans="1:14" x14ac:dyDescent="0.35">
      <c r="A8" s="4" t="s">
        <v>76</v>
      </c>
      <c r="B8" s="4" t="s">
        <v>54</v>
      </c>
      <c r="C8" s="4" t="s">
        <v>107</v>
      </c>
      <c r="D8" s="5">
        <v>45624</v>
      </c>
      <c r="E8" s="5">
        <v>45684</v>
      </c>
      <c r="F8" s="4" t="s">
        <v>77</v>
      </c>
      <c r="G8" s="4" t="s">
        <v>56</v>
      </c>
      <c r="H8" s="4" t="s">
        <v>57</v>
      </c>
      <c r="I8" s="6">
        <v>-44879.86</v>
      </c>
      <c r="J8" s="4" t="s">
        <v>58</v>
      </c>
      <c r="K8" s="6">
        <v>-38242.129999999997</v>
      </c>
      <c r="L8" s="4" t="s">
        <v>75</v>
      </c>
      <c r="M8" s="4" t="s">
        <v>12</v>
      </c>
      <c r="N8" s="4" t="s">
        <v>108</v>
      </c>
    </row>
    <row r="9" spans="1:14" x14ac:dyDescent="0.35">
      <c r="A9" s="4" t="s">
        <v>80</v>
      </c>
      <c r="B9" s="4" t="s">
        <v>54</v>
      </c>
      <c r="C9" s="4" t="s">
        <v>107</v>
      </c>
      <c r="D9" s="5">
        <v>45632</v>
      </c>
      <c r="E9" s="5">
        <v>45692</v>
      </c>
      <c r="F9" s="4" t="s">
        <v>81</v>
      </c>
      <c r="G9" s="4" t="s">
        <v>56</v>
      </c>
      <c r="H9" s="4" t="s">
        <v>57</v>
      </c>
      <c r="I9" s="6">
        <v>-73192.67</v>
      </c>
      <c r="J9" s="4" t="s">
        <v>58</v>
      </c>
      <c r="K9" s="6">
        <v>-62367.47</v>
      </c>
      <c r="L9" s="4" t="s">
        <v>79</v>
      </c>
      <c r="M9" s="4" t="s">
        <v>12</v>
      </c>
      <c r="N9" s="4" t="s">
        <v>108</v>
      </c>
    </row>
    <row r="10" spans="1:14" x14ac:dyDescent="0.35">
      <c r="A10" s="4" t="s">
        <v>84</v>
      </c>
      <c r="B10" s="4" t="s">
        <v>54</v>
      </c>
      <c r="C10" s="4" t="s">
        <v>107</v>
      </c>
      <c r="D10" s="5">
        <v>45632</v>
      </c>
      <c r="E10" s="5">
        <v>45692</v>
      </c>
      <c r="F10" s="4" t="s">
        <v>85</v>
      </c>
      <c r="G10" s="4" t="s">
        <v>56</v>
      </c>
      <c r="H10" s="4" t="s">
        <v>57</v>
      </c>
      <c r="I10" s="6">
        <v>-118273.38</v>
      </c>
      <c r="J10" s="4" t="s">
        <v>58</v>
      </c>
      <c r="K10" s="6">
        <v>-100780.75</v>
      </c>
      <c r="L10" s="4" t="s">
        <v>83</v>
      </c>
      <c r="M10" s="4" t="s">
        <v>12</v>
      </c>
      <c r="N10" s="4" t="s">
        <v>108</v>
      </c>
    </row>
    <row r="11" spans="1:14" x14ac:dyDescent="0.35">
      <c r="A11" s="4" t="s">
        <v>88</v>
      </c>
      <c r="B11" s="4" t="s">
        <v>54</v>
      </c>
      <c r="C11" s="4" t="s">
        <v>107</v>
      </c>
      <c r="D11" s="5">
        <v>45632</v>
      </c>
      <c r="E11" s="5">
        <v>45692</v>
      </c>
      <c r="F11" s="4" t="s">
        <v>89</v>
      </c>
      <c r="G11" s="4" t="s">
        <v>56</v>
      </c>
      <c r="H11" s="4" t="s">
        <v>57</v>
      </c>
      <c r="I11" s="6">
        <v>-43374.03</v>
      </c>
      <c r="J11" s="4" t="s">
        <v>58</v>
      </c>
      <c r="K11" s="6">
        <v>-36959.01</v>
      </c>
      <c r="L11" s="4" t="s">
        <v>87</v>
      </c>
      <c r="M11" s="4" t="s">
        <v>12</v>
      </c>
      <c r="N11" s="4" t="s">
        <v>108</v>
      </c>
    </row>
    <row r="12" spans="1:14" x14ac:dyDescent="0.35">
      <c r="A12" s="4" t="s">
        <v>92</v>
      </c>
      <c r="B12" s="4" t="s">
        <v>54</v>
      </c>
      <c r="C12" s="4" t="s">
        <v>107</v>
      </c>
      <c r="D12" s="5">
        <v>45635</v>
      </c>
      <c r="E12" s="5">
        <v>45695</v>
      </c>
      <c r="F12" s="4" t="s">
        <v>93</v>
      </c>
      <c r="G12" s="4" t="s">
        <v>56</v>
      </c>
      <c r="H12" s="4" t="s">
        <v>57</v>
      </c>
      <c r="I12" s="6">
        <v>-184379.74</v>
      </c>
      <c r="J12" s="4" t="s">
        <v>58</v>
      </c>
      <c r="K12" s="6">
        <v>-157109.98000000001</v>
      </c>
      <c r="L12" s="4" t="s">
        <v>91</v>
      </c>
      <c r="M12" s="4" t="s">
        <v>12</v>
      </c>
      <c r="N12" s="4" t="s">
        <v>108</v>
      </c>
    </row>
    <row r="13" spans="1:14" x14ac:dyDescent="0.35">
      <c r="A13" s="4" t="s">
        <v>96</v>
      </c>
      <c r="B13" s="4" t="s">
        <v>54</v>
      </c>
      <c r="C13" s="4" t="s">
        <v>107</v>
      </c>
      <c r="D13" s="5">
        <v>45635</v>
      </c>
      <c r="E13" s="5">
        <v>45695</v>
      </c>
      <c r="F13" s="4" t="s">
        <v>97</v>
      </c>
      <c r="G13" s="4" t="s">
        <v>56</v>
      </c>
      <c r="H13" s="4" t="s">
        <v>57</v>
      </c>
      <c r="I13" s="6">
        <v>-11923.77</v>
      </c>
      <c r="J13" s="4" t="s">
        <v>58</v>
      </c>
      <c r="K13" s="6">
        <v>-10160.24</v>
      </c>
      <c r="L13" s="4" t="s">
        <v>95</v>
      </c>
      <c r="M13" s="4" t="s">
        <v>12</v>
      </c>
      <c r="N13" s="4" t="s">
        <v>108</v>
      </c>
    </row>
  </sheetData>
  <mergeCells count="1">
    <mergeCell ref="A1:N1"/>
  </mergeCells>
  <pageMargins left="0.75" right="0.75" top="1" bottom="1" header="0.5" footer="0.5"/>
  <pageSetup fitToHeight="0"/>
  <headerFooter>
    <oddFooter>&amp;CLTM | SAP-style illustrative output | Bank: DBS Global | Not generated by SAP&amp;RPage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5"/>
  <sheetViews>
    <sheetView showGridLines="0" workbookViewId="0">
      <pane xSplit="5" ySplit="5" topLeftCell="N6" activePane="bottomRight" state="frozen"/>
      <selection pane="topRight"/>
      <selection pane="bottomLeft"/>
      <selection pane="bottomRight" activeCell="U6" sqref="U6"/>
    </sheetView>
  </sheetViews>
  <sheetFormatPr defaultRowHeight="14.5" x14ac:dyDescent="0.35"/>
  <cols>
    <col min="1" max="1" width="21" customWidth="1"/>
    <col min="2" max="4" width="20" customWidth="1"/>
    <col min="5" max="5" width="12" customWidth="1"/>
    <col min="6" max="8" width="17" customWidth="1"/>
    <col min="9" max="9" width="13" customWidth="1"/>
    <col min="10" max="12" width="17" customWidth="1"/>
    <col min="13" max="15" width="16" customWidth="1"/>
    <col min="16" max="16" width="18" customWidth="1"/>
    <col min="17" max="17" width="28" customWidth="1"/>
    <col min="18" max="18" width="20" customWidth="1"/>
    <col min="19" max="20" width="18" customWidth="1"/>
    <col min="21" max="21" width="14" customWidth="1"/>
  </cols>
  <sheetData>
    <row r="1" spans="1:21" ht="30" customHeight="1" x14ac:dyDescent="0.35">
      <c r="A1" s="13" t="s">
        <v>109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3" spans="1:21" x14ac:dyDescent="0.35">
      <c r="A3" t="s">
        <v>110</v>
      </c>
      <c r="B3" s="9">
        <v>0.01</v>
      </c>
    </row>
    <row r="5" spans="1:21" ht="36" customHeight="1" x14ac:dyDescent="0.35">
      <c r="A5" s="2" t="s">
        <v>26</v>
      </c>
      <c r="B5" s="2" t="s">
        <v>27</v>
      </c>
      <c r="C5" s="2" t="s">
        <v>28</v>
      </c>
      <c r="D5" s="2" t="s">
        <v>36</v>
      </c>
      <c r="E5" s="2" t="s">
        <v>111</v>
      </c>
      <c r="F5" s="2" t="s">
        <v>39</v>
      </c>
      <c r="G5" s="2" t="s">
        <v>40</v>
      </c>
      <c r="H5" s="2" t="s">
        <v>112</v>
      </c>
      <c r="I5" s="2" t="s">
        <v>41</v>
      </c>
      <c r="J5" s="2" t="s">
        <v>42</v>
      </c>
      <c r="K5" s="2" t="s">
        <v>43</v>
      </c>
      <c r="L5" s="2" t="s">
        <v>113</v>
      </c>
      <c r="M5" s="2" t="s">
        <v>44</v>
      </c>
      <c r="N5" s="2" t="s">
        <v>45</v>
      </c>
      <c r="O5" s="2" t="s">
        <v>114</v>
      </c>
      <c r="P5" s="2" t="s">
        <v>115</v>
      </c>
      <c r="Q5" s="2" t="s">
        <v>116</v>
      </c>
      <c r="R5" s="2" t="s">
        <v>117</v>
      </c>
      <c r="S5" s="2" t="s">
        <v>118</v>
      </c>
      <c r="T5" s="2" t="s">
        <v>119</v>
      </c>
      <c r="U5" s="2" t="s">
        <v>120</v>
      </c>
    </row>
    <row r="6" spans="1:21" x14ac:dyDescent="0.35">
      <c r="A6" s="4" t="str">
        <f>'Invoice Register'!A4</f>
        <v>LTM-IC-2026-0001</v>
      </c>
      <c r="B6" s="4" t="str">
        <f>'Invoice Register'!B4</f>
        <v>1800000003</v>
      </c>
      <c r="C6" s="4" t="str">
        <f>'Invoice Register'!C4</f>
        <v>1900000002</v>
      </c>
      <c r="D6" s="4" t="str">
        <f>'Invoice Register'!K4</f>
        <v>WBS TEST -LAB</v>
      </c>
      <c r="E6" s="4" t="str">
        <f>'Invoice Register'!M4</f>
        <v>EUR</v>
      </c>
      <c r="F6" s="6">
        <f>'Invoice Register'!N4</f>
        <v>39000</v>
      </c>
      <c r="G6" s="6">
        <f>'Invoice Register'!O4</f>
        <v>-39000</v>
      </c>
      <c r="H6" s="6">
        <f t="shared" ref="H6:H15" si="0">F6+G6</f>
        <v>0</v>
      </c>
      <c r="I6" s="4" t="str">
        <f>'Invoice Register'!P4</f>
        <v>GBP</v>
      </c>
      <c r="J6" s="6">
        <f>'Invoice Register'!Q4</f>
        <v>34054.800000000003</v>
      </c>
      <c r="K6" s="6">
        <f>'Invoice Register'!R4</f>
        <v>-34054.800000000003</v>
      </c>
      <c r="L6" s="6">
        <f t="shared" ref="L6:L15" si="1">J6+K6</f>
        <v>0</v>
      </c>
      <c r="M6" s="4" t="str">
        <f>'Invoice Register'!S4</f>
        <v>DBS Global</v>
      </c>
      <c r="N6" s="3" t="str">
        <f>'Invoice Register'!T4</f>
        <v>Open</v>
      </c>
      <c r="O6" s="3" t="s">
        <v>121</v>
      </c>
      <c r="P6" s="3"/>
      <c r="Q6" s="3"/>
      <c r="R6" s="3"/>
      <c r="S6" t="str">
        <f t="shared" ref="S6:S15" si="2">IF(AND(ABS(H6)&lt;=$B$3,ABS(L6)&lt;=$B$3,O6="Matched"),"Matched","Open / Exception")</f>
        <v>Open / Exception</v>
      </c>
      <c r="T6" s="3"/>
      <c r="U6" s="3"/>
    </row>
    <row r="7" spans="1:21" x14ac:dyDescent="0.35">
      <c r="A7" s="4" t="str">
        <f>'Invoice Register'!A5</f>
        <v>LTM-IC-2026-0002</v>
      </c>
      <c r="B7" s="4" t="str">
        <f>'Invoice Register'!B5</f>
        <v>1800000004</v>
      </c>
      <c r="C7" s="4" t="str">
        <f>'Invoice Register'!C5</f>
        <v>1900000003</v>
      </c>
      <c r="D7" s="4" t="str">
        <f>'Invoice Register'!K5</f>
        <v>LAB - NO WBS</v>
      </c>
      <c r="E7" s="4" t="str">
        <f>'Invoice Register'!M5</f>
        <v>EUR</v>
      </c>
      <c r="F7" s="6">
        <f>'Invoice Register'!N5</f>
        <v>39000</v>
      </c>
      <c r="G7" s="6">
        <f>'Invoice Register'!O5</f>
        <v>-39000</v>
      </c>
      <c r="H7" s="6">
        <f t="shared" si="0"/>
        <v>0</v>
      </c>
      <c r="I7" s="4" t="str">
        <f>'Invoice Register'!P5</f>
        <v>GBP</v>
      </c>
      <c r="J7" s="6">
        <f>'Invoice Register'!Q5</f>
        <v>34054.800000000003</v>
      </c>
      <c r="K7" s="6">
        <f>'Invoice Register'!R5</f>
        <v>-34054.800000000003</v>
      </c>
      <c r="L7" s="6">
        <f t="shared" si="1"/>
        <v>0</v>
      </c>
      <c r="M7" s="4" t="str">
        <f>'Invoice Register'!S5</f>
        <v>DBS Global</v>
      </c>
      <c r="N7" s="3" t="str">
        <f>'Invoice Register'!T5</f>
        <v>Open</v>
      </c>
      <c r="O7" s="3" t="s">
        <v>121</v>
      </c>
      <c r="P7" s="3"/>
      <c r="Q7" s="3"/>
      <c r="R7" s="3"/>
      <c r="S7" t="str">
        <f t="shared" si="2"/>
        <v>Open / Exception</v>
      </c>
      <c r="T7" s="3"/>
      <c r="U7" s="3"/>
    </row>
    <row r="8" spans="1:21" x14ac:dyDescent="0.35">
      <c r="A8" s="4" t="str">
        <f>'Invoice Register'!A6</f>
        <v>LTM-IC-2026-0003</v>
      </c>
      <c r="B8" s="4" t="str">
        <f>'Invoice Register'!B6</f>
        <v>1800000005</v>
      </c>
      <c r="C8" s="4" t="str">
        <f>'Invoice Register'!C6</f>
        <v>1900000660</v>
      </c>
      <c r="D8" s="4" t="str">
        <f>'Invoice Register'!K6</f>
        <v>90050558</v>
      </c>
      <c r="E8" s="4" t="str">
        <f>'Invoice Register'!M6</f>
        <v>EUR</v>
      </c>
      <c r="F8" s="6">
        <f>'Invoice Register'!N6</f>
        <v>68739.02</v>
      </c>
      <c r="G8" s="6">
        <f>'Invoice Register'!O6</f>
        <v>-68739.02</v>
      </c>
      <c r="H8" s="6">
        <f t="shared" si="0"/>
        <v>0</v>
      </c>
      <c r="I8" s="4" t="str">
        <f>'Invoice Register'!P6</f>
        <v>GBP</v>
      </c>
      <c r="J8" s="6">
        <f>'Invoice Register'!Q6</f>
        <v>58572.52</v>
      </c>
      <c r="K8" s="6">
        <f>'Invoice Register'!R6</f>
        <v>-58572.52</v>
      </c>
      <c r="L8" s="6">
        <f t="shared" si="1"/>
        <v>0</v>
      </c>
      <c r="M8" s="4" t="str">
        <f>'Invoice Register'!S6</f>
        <v>DBS Global</v>
      </c>
      <c r="N8" s="3" t="str">
        <f>'Invoice Register'!T6</f>
        <v>Open</v>
      </c>
      <c r="O8" s="3" t="s">
        <v>121</v>
      </c>
      <c r="P8" s="3"/>
      <c r="Q8" s="3"/>
      <c r="R8" s="3"/>
      <c r="S8" t="str">
        <f t="shared" si="2"/>
        <v>Open / Exception</v>
      </c>
      <c r="T8" s="3"/>
      <c r="U8" s="3"/>
    </row>
    <row r="9" spans="1:21" x14ac:dyDescent="0.35">
      <c r="A9" s="4" t="str">
        <f>'Invoice Register'!A7</f>
        <v>LTM-IC-2026-0004</v>
      </c>
      <c r="B9" s="4" t="str">
        <f>'Invoice Register'!B7</f>
        <v>1800000006</v>
      </c>
      <c r="C9" s="4" t="str">
        <f>'Invoice Register'!C7</f>
        <v>1900000661</v>
      </c>
      <c r="D9" s="4" t="str">
        <f>'Invoice Register'!K7</f>
        <v>90050559</v>
      </c>
      <c r="E9" s="4" t="str">
        <f>'Invoice Register'!M7</f>
        <v>EUR</v>
      </c>
      <c r="F9" s="6">
        <f>'Invoice Register'!N7</f>
        <v>37176.160000000003</v>
      </c>
      <c r="G9" s="6">
        <f>'Invoice Register'!O7</f>
        <v>-37176.160000000003</v>
      </c>
      <c r="H9" s="6">
        <f t="shared" si="0"/>
        <v>0</v>
      </c>
      <c r="I9" s="4" t="str">
        <f>'Invoice Register'!P7</f>
        <v>GBP</v>
      </c>
      <c r="J9" s="6">
        <f>'Invoice Register'!Q7</f>
        <v>31677.81</v>
      </c>
      <c r="K9" s="6">
        <f>'Invoice Register'!R7</f>
        <v>-31677.81</v>
      </c>
      <c r="L9" s="6">
        <f t="shared" si="1"/>
        <v>0</v>
      </c>
      <c r="M9" s="4" t="str">
        <f>'Invoice Register'!S7</f>
        <v>DBS Global</v>
      </c>
      <c r="N9" s="3" t="str">
        <f>'Invoice Register'!T7</f>
        <v>Open</v>
      </c>
      <c r="O9" s="3" t="s">
        <v>121</v>
      </c>
      <c r="P9" s="3"/>
      <c r="Q9" s="3"/>
      <c r="R9" s="3"/>
      <c r="S9" t="str">
        <f t="shared" si="2"/>
        <v>Open / Exception</v>
      </c>
      <c r="T9" s="3"/>
      <c r="U9" s="3"/>
    </row>
    <row r="10" spans="1:21" x14ac:dyDescent="0.35">
      <c r="A10" s="4" t="str">
        <f>'Invoice Register'!A8</f>
        <v>LTM-IC-2026-0005</v>
      </c>
      <c r="B10" s="4" t="str">
        <f>'Invoice Register'!B8</f>
        <v>1800000007</v>
      </c>
      <c r="C10" s="4" t="str">
        <f>'Invoice Register'!C8</f>
        <v>1900000662</v>
      </c>
      <c r="D10" s="4" t="str">
        <f>'Invoice Register'!K8</f>
        <v>90050561</v>
      </c>
      <c r="E10" s="4" t="str">
        <f>'Invoice Register'!M8</f>
        <v>EUR</v>
      </c>
      <c r="F10" s="6">
        <f>'Invoice Register'!N8</f>
        <v>44879.86</v>
      </c>
      <c r="G10" s="6">
        <f>'Invoice Register'!O8</f>
        <v>-44879.86</v>
      </c>
      <c r="H10" s="6">
        <f t="shared" si="0"/>
        <v>0</v>
      </c>
      <c r="I10" s="4" t="str">
        <f>'Invoice Register'!P8</f>
        <v>GBP</v>
      </c>
      <c r="J10" s="6">
        <f>'Invoice Register'!Q8</f>
        <v>38242.129999999997</v>
      </c>
      <c r="K10" s="6">
        <f>'Invoice Register'!R8</f>
        <v>-38242.129999999997</v>
      </c>
      <c r="L10" s="6">
        <f t="shared" si="1"/>
        <v>0</v>
      </c>
      <c r="M10" s="4" t="str">
        <f>'Invoice Register'!S8</f>
        <v>DBS Global</v>
      </c>
      <c r="N10" s="3" t="str">
        <f>'Invoice Register'!T8</f>
        <v>Open</v>
      </c>
      <c r="O10" s="3" t="s">
        <v>121</v>
      </c>
      <c r="P10" s="3"/>
      <c r="Q10" s="3"/>
      <c r="R10" s="3"/>
      <c r="S10" t="str">
        <f t="shared" si="2"/>
        <v>Open / Exception</v>
      </c>
      <c r="T10" s="3"/>
      <c r="U10" s="3"/>
    </row>
    <row r="11" spans="1:21" x14ac:dyDescent="0.35">
      <c r="A11" s="4" t="str">
        <f>'Invoice Register'!A9</f>
        <v>LTM-IC-2026-0006</v>
      </c>
      <c r="B11" s="4" t="str">
        <f>'Invoice Register'!B9</f>
        <v>1800000008</v>
      </c>
      <c r="C11" s="4" t="str">
        <f>'Invoice Register'!C9</f>
        <v>1900000663</v>
      </c>
      <c r="D11" s="4" t="str">
        <f>'Invoice Register'!K9</f>
        <v>0F00000383</v>
      </c>
      <c r="E11" s="4" t="str">
        <f>'Invoice Register'!M9</f>
        <v>EUR</v>
      </c>
      <c r="F11" s="6">
        <f>'Invoice Register'!N9</f>
        <v>73192.67</v>
      </c>
      <c r="G11" s="6">
        <f>'Invoice Register'!O9</f>
        <v>-73192.67</v>
      </c>
      <c r="H11" s="6">
        <f t="shared" si="0"/>
        <v>0</v>
      </c>
      <c r="I11" s="4" t="str">
        <f>'Invoice Register'!P9</f>
        <v>GBP</v>
      </c>
      <c r="J11" s="6">
        <f>'Invoice Register'!Q9</f>
        <v>62367.47</v>
      </c>
      <c r="K11" s="6">
        <f>'Invoice Register'!R9</f>
        <v>-62367.47</v>
      </c>
      <c r="L11" s="6">
        <f t="shared" si="1"/>
        <v>0</v>
      </c>
      <c r="M11" s="4" t="str">
        <f>'Invoice Register'!S9</f>
        <v>DBS Global</v>
      </c>
      <c r="N11" s="3" t="str">
        <f>'Invoice Register'!T9</f>
        <v>Open</v>
      </c>
      <c r="O11" s="3" t="s">
        <v>121</v>
      </c>
      <c r="P11" s="3"/>
      <c r="Q11" s="3"/>
      <c r="R11" s="3"/>
      <c r="S11" t="str">
        <f t="shared" si="2"/>
        <v>Open / Exception</v>
      </c>
      <c r="T11" s="3"/>
      <c r="U11" s="3"/>
    </row>
    <row r="12" spans="1:21" x14ac:dyDescent="0.35">
      <c r="A12" s="4" t="str">
        <f>'Invoice Register'!A10</f>
        <v>LTM-IC-2026-0007</v>
      </c>
      <c r="B12" s="4" t="str">
        <f>'Invoice Register'!B10</f>
        <v>1800000009</v>
      </c>
      <c r="C12" s="4" t="str">
        <f>'Invoice Register'!C10</f>
        <v>1900000664</v>
      </c>
      <c r="D12" s="4" t="str">
        <f>'Invoice Register'!K10</f>
        <v>0F00000400</v>
      </c>
      <c r="E12" s="4" t="str">
        <f>'Invoice Register'!M10</f>
        <v>EUR</v>
      </c>
      <c r="F12" s="6">
        <f>'Invoice Register'!N10</f>
        <v>118273.38</v>
      </c>
      <c r="G12" s="6">
        <f>'Invoice Register'!O10</f>
        <v>-118273.38</v>
      </c>
      <c r="H12" s="6">
        <f t="shared" si="0"/>
        <v>0</v>
      </c>
      <c r="I12" s="4" t="str">
        <f>'Invoice Register'!P10</f>
        <v>GBP</v>
      </c>
      <c r="J12" s="6">
        <f>'Invoice Register'!Q10</f>
        <v>100780.75</v>
      </c>
      <c r="K12" s="6">
        <f>'Invoice Register'!R10</f>
        <v>-100780.75</v>
      </c>
      <c r="L12" s="6">
        <f t="shared" si="1"/>
        <v>0</v>
      </c>
      <c r="M12" s="4" t="str">
        <f>'Invoice Register'!S10</f>
        <v>DBS Global</v>
      </c>
      <c r="N12" s="3" t="str">
        <f>'Invoice Register'!T10</f>
        <v>Open</v>
      </c>
      <c r="O12" s="3" t="s">
        <v>121</v>
      </c>
      <c r="P12" s="3"/>
      <c r="Q12" s="3"/>
      <c r="R12" s="3"/>
      <c r="S12" t="str">
        <f t="shared" si="2"/>
        <v>Open / Exception</v>
      </c>
      <c r="T12" s="3"/>
      <c r="U12" s="3"/>
    </row>
    <row r="13" spans="1:21" x14ac:dyDescent="0.35">
      <c r="A13" s="4" t="str">
        <f>'Invoice Register'!A11</f>
        <v>LTM-IC-2026-0008</v>
      </c>
      <c r="B13" s="4" t="str">
        <f>'Invoice Register'!B11</f>
        <v>1800000010</v>
      </c>
      <c r="C13" s="4" t="str">
        <f>'Invoice Register'!C11</f>
        <v>1900000665</v>
      </c>
      <c r="D13" s="4" t="str">
        <f>'Invoice Register'!K11</f>
        <v>0F00000406</v>
      </c>
      <c r="E13" s="4" t="str">
        <f>'Invoice Register'!M11</f>
        <v>EUR</v>
      </c>
      <c r="F13" s="6">
        <f>'Invoice Register'!N11</f>
        <v>43374.03</v>
      </c>
      <c r="G13" s="6">
        <f>'Invoice Register'!O11</f>
        <v>-43374.03</v>
      </c>
      <c r="H13" s="6">
        <f t="shared" si="0"/>
        <v>0</v>
      </c>
      <c r="I13" s="4" t="str">
        <f>'Invoice Register'!P11</f>
        <v>GBP</v>
      </c>
      <c r="J13" s="6">
        <f>'Invoice Register'!Q11</f>
        <v>36959.01</v>
      </c>
      <c r="K13" s="6">
        <f>'Invoice Register'!R11</f>
        <v>-36959.01</v>
      </c>
      <c r="L13" s="6">
        <f t="shared" si="1"/>
        <v>0</v>
      </c>
      <c r="M13" s="4" t="str">
        <f>'Invoice Register'!S11</f>
        <v>DBS Global</v>
      </c>
      <c r="N13" s="3" t="str">
        <f>'Invoice Register'!T11</f>
        <v>Open</v>
      </c>
      <c r="O13" s="3" t="s">
        <v>121</v>
      </c>
      <c r="P13" s="3"/>
      <c r="Q13" s="3"/>
      <c r="R13" s="3"/>
      <c r="S13" t="str">
        <f t="shared" si="2"/>
        <v>Open / Exception</v>
      </c>
      <c r="T13" s="3"/>
      <c r="U13" s="3"/>
    </row>
    <row r="14" spans="1:21" x14ac:dyDescent="0.35">
      <c r="A14" s="4" t="str">
        <f>'Invoice Register'!A12</f>
        <v>LTM-IC-2026-0009</v>
      </c>
      <c r="B14" s="4" t="str">
        <f>'Invoice Register'!B12</f>
        <v>1800000011</v>
      </c>
      <c r="C14" s="4" t="str">
        <f>'Invoice Register'!C12</f>
        <v>1900000666</v>
      </c>
      <c r="D14" s="4" t="str">
        <f>'Invoice Register'!K12</f>
        <v>0F00000466</v>
      </c>
      <c r="E14" s="4" t="str">
        <f>'Invoice Register'!M12</f>
        <v>EUR</v>
      </c>
      <c r="F14" s="6">
        <f>'Invoice Register'!N12</f>
        <v>184379.74</v>
      </c>
      <c r="G14" s="6">
        <f>'Invoice Register'!O12</f>
        <v>-184379.74</v>
      </c>
      <c r="H14" s="6">
        <f t="shared" si="0"/>
        <v>0</v>
      </c>
      <c r="I14" s="4" t="str">
        <f>'Invoice Register'!P12</f>
        <v>GBP</v>
      </c>
      <c r="J14" s="6">
        <f>'Invoice Register'!Q12</f>
        <v>157109.98000000001</v>
      </c>
      <c r="K14" s="6">
        <f>'Invoice Register'!R12</f>
        <v>-157109.98000000001</v>
      </c>
      <c r="L14" s="6">
        <f t="shared" si="1"/>
        <v>0</v>
      </c>
      <c r="M14" s="4" t="str">
        <f>'Invoice Register'!S12</f>
        <v>DBS Global</v>
      </c>
      <c r="N14" s="3" t="str">
        <f>'Invoice Register'!T12</f>
        <v>Open</v>
      </c>
      <c r="O14" s="3" t="s">
        <v>121</v>
      </c>
      <c r="P14" s="3"/>
      <c r="Q14" s="3"/>
      <c r="R14" s="3"/>
      <c r="S14" t="str">
        <f t="shared" si="2"/>
        <v>Open / Exception</v>
      </c>
      <c r="T14" s="3"/>
      <c r="U14" s="3"/>
    </row>
    <row r="15" spans="1:21" x14ac:dyDescent="0.35">
      <c r="A15" s="4" t="str">
        <f>'Invoice Register'!A13</f>
        <v>LTM-IC-2026-0010</v>
      </c>
      <c r="B15" s="4" t="str">
        <f>'Invoice Register'!B13</f>
        <v>1800000012</v>
      </c>
      <c r="C15" s="4" t="str">
        <f>'Invoice Register'!C13</f>
        <v>1900000667</v>
      </c>
      <c r="D15" s="4" t="str">
        <f>'Invoice Register'!K13</f>
        <v>0F00000472</v>
      </c>
      <c r="E15" s="4" t="str">
        <f>'Invoice Register'!M13</f>
        <v>EUR</v>
      </c>
      <c r="F15" s="6">
        <f>'Invoice Register'!N13</f>
        <v>11923.77</v>
      </c>
      <c r="G15" s="6">
        <f>'Invoice Register'!O13</f>
        <v>-11923.77</v>
      </c>
      <c r="H15" s="6">
        <f t="shared" si="0"/>
        <v>0</v>
      </c>
      <c r="I15" s="4" t="str">
        <f>'Invoice Register'!P13</f>
        <v>GBP</v>
      </c>
      <c r="J15" s="6">
        <f>'Invoice Register'!Q13</f>
        <v>10160.24</v>
      </c>
      <c r="K15" s="6">
        <f>'Invoice Register'!R13</f>
        <v>-10160.24</v>
      </c>
      <c r="L15" s="6">
        <f t="shared" si="1"/>
        <v>0</v>
      </c>
      <c r="M15" s="4" t="str">
        <f>'Invoice Register'!S13</f>
        <v>DBS Global</v>
      </c>
      <c r="N15" s="3" t="str">
        <f>'Invoice Register'!T13</f>
        <v>Open</v>
      </c>
      <c r="O15" s="3" t="s">
        <v>121</v>
      </c>
      <c r="P15" s="3"/>
      <c r="Q15" s="3"/>
      <c r="R15" s="3"/>
      <c r="S15" t="str">
        <f t="shared" si="2"/>
        <v>Open / Exception</v>
      </c>
      <c r="T15" s="3"/>
      <c r="U15" s="3"/>
    </row>
  </sheetData>
  <mergeCells count="1">
    <mergeCell ref="A1:U1"/>
  </mergeCells>
  <conditionalFormatting sqref="S6:S15">
    <cfRule type="expression" dxfId="1" priority="1">
      <formula>S6="Matched"</formula>
    </cfRule>
    <cfRule type="expression" dxfId="0" priority="2">
      <formula>S6&lt;&gt;"Matched"</formula>
    </cfRule>
  </conditionalFormatting>
  <pageMargins left="0.75" right="0.75" top="1" bottom="1" header="0.5" footer="0.5"/>
  <pageSetup fitToHeight="0"/>
  <headerFooter>
    <oddFooter>&amp;CLTM | SAP-style illustrative output | Bank: DBS Global | Not generated by SAP&amp;RPage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43"/>
  <sheetViews>
    <sheetView showGridLines="0" tabSelected="1" workbookViewId="0">
      <pane xSplit="6" ySplit="3" topLeftCell="G4" activePane="bottomRight" state="frozen"/>
      <selection pane="topRight"/>
      <selection pane="bottomLeft"/>
      <selection pane="bottomRight" activeCell="F13" sqref="F13"/>
    </sheetView>
  </sheetViews>
  <sheetFormatPr defaultRowHeight="14.5" x14ac:dyDescent="0.35"/>
  <cols>
    <col min="1" max="1" width="21" customWidth="1"/>
    <col min="2" max="2" width="9" customWidth="1"/>
    <col min="3" max="3" width="30" customWidth="1"/>
    <col min="4" max="4" width="20" customWidth="1"/>
    <col min="5" max="5" width="14" customWidth="1"/>
    <col min="6" max="6" width="30" customWidth="1"/>
    <col min="7" max="8" width="17" customWidth="1"/>
    <col min="9" max="9" width="12" customWidth="1"/>
    <col min="10" max="10" width="20" customWidth="1"/>
    <col min="11" max="11" width="16" customWidth="1"/>
    <col min="12" max="12" width="15" customWidth="1"/>
    <col min="13" max="13" width="16" customWidth="1"/>
  </cols>
  <sheetData>
    <row r="1" spans="1:13" ht="30" customHeight="1" x14ac:dyDescent="0.35">
      <c r="A1" s="13" t="s">
        <v>122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3" spans="1:13" ht="36" customHeight="1" x14ac:dyDescent="0.35">
      <c r="A3" s="2" t="s">
        <v>26</v>
      </c>
      <c r="B3" s="2" t="s">
        <v>123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  <c r="I3" s="2" t="s">
        <v>111</v>
      </c>
      <c r="J3" s="2" t="s">
        <v>36</v>
      </c>
      <c r="K3" s="2" t="s">
        <v>44</v>
      </c>
      <c r="L3" s="2" t="s">
        <v>106</v>
      </c>
      <c r="M3" s="2" t="s">
        <v>130</v>
      </c>
    </row>
    <row r="4" spans="1:13" x14ac:dyDescent="0.35">
      <c r="A4" t="s">
        <v>49</v>
      </c>
      <c r="B4" t="s">
        <v>131</v>
      </c>
      <c r="C4" t="s">
        <v>18</v>
      </c>
      <c r="D4" t="s">
        <v>50</v>
      </c>
      <c r="E4" t="s">
        <v>132</v>
      </c>
      <c r="F4" t="s">
        <v>133</v>
      </c>
      <c r="G4" s="10">
        <v>39000</v>
      </c>
      <c r="H4" s="10">
        <v>0</v>
      </c>
      <c r="I4" t="s">
        <v>57</v>
      </c>
      <c r="J4" t="s">
        <v>55</v>
      </c>
      <c r="K4" t="s">
        <v>12</v>
      </c>
      <c r="L4" t="s">
        <v>108</v>
      </c>
      <c r="M4" t="s">
        <v>134</v>
      </c>
    </row>
    <row r="5" spans="1:13" x14ac:dyDescent="0.35">
      <c r="A5" t="s">
        <v>49</v>
      </c>
      <c r="B5" t="s">
        <v>131</v>
      </c>
      <c r="C5" t="s">
        <v>18</v>
      </c>
      <c r="D5" t="s">
        <v>50</v>
      </c>
      <c r="E5" t="s">
        <v>135</v>
      </c>
      <c r="F5" t="s">
        <v>136</v>
      </c>
      <c r="G5" s="10">
        <v>0</v>
      </c>
      <c r="H5" s="10">
        <v>39000</v>
      </c>
      <c r="I5" t="s">
        <v>57</v>
      </c>
      <c r="J5" t="s">
        <v>55</v>
      </c>
      <c r="K5" t="s">
        <v>12</v>
      </c>
      <c r="L5" t="s">
        <v>108</v>
      </c>
      <c r="M5" t="s">
        <v>134</v>
      </c>
    </row>
    <row r="6" spans="1:13" x14ac:dyDescent="0.35">
      <c r="A6" t="s">
        <v>49</v>
      </c>
      <c r="B6" t="s">
        <v>137</v>
      </c>
      <c r="C6" t="s">
        <v>20</v>
      </c>
      <c r="D6" t="s">
        <v>51</v>
      </c>
      <c r="E6" t="s">
        <v>138</v>
      </c>
      <c r="F6" t="s">
        <v>139</v>
      </c>
      <c r="G6" s="10">
        <v>39000</v>
      </c>
      <c r="H6" s="10">
        <v>0</v>
      </c>
      <c r="I6" t="s">
        <v>57</v>
      </c>
      <c r="J6" t="s">
        <v>55</v>
      </c>
      <c r="K6" t="s">
        <v>12</v>
      </c>
      <c r="L6" t="s">
        <v>108</v>
      </c>
      <c r="M6" t="s">
        <v>134</v>
      </c>
    </row>
    <row r="7" spans="1:13" x14ac:dyDescent="0.35">
      <c r="A7" t="s">
        <v>49</v>
      </c>
      <c r="B7" t="s">
        <v>137</v>
      </c>
      <c r="C7" t="s">
        <v>20</v>
      </c>
      <c r="D7" t="s">
        <v>51</v>
      </c>
      <c r="E7" t="s">
        <v>140</v>
      </c>
      <c r="F7" t="s">
        <v>141</v>
      </c>
      <c r="G7" s="10">
        <v>0</v>
      </c>
      <c r="H7" s="10">
        <v>39000</v>
      </c>
      <c r="I7" t="s">
        <v>57</v>
      </c>
      <c r="J7" t="s">
        <v>55</v>
      </c>
      <c r="K7" t="s">
        <v>12</v>
      </c>
      <c r="L7" t="s">
        <v>108</v>
      </c>
      <c r="M7" t="s">
        <v>134</v>
      </c>
    </row>
    <row r="8" spans="1:13" x14ac:dyDescent="0.35">
      <c r="A8" t="s">
        <v>62</v>
      </c>
      <c r="B8" t="s">
        <v>131</v>
      </c>
      <c r="C8" t="s">
        <v>18</v>
      </c>
      <c r="D8" t="s">
        <v>63</v>
      </c>
      <c r="E8" t="s">
        <v>132</v>
      </c>
      <c r="F8" t="s">
        <v>133</v>
      </c>
      <c r="G8" s="10">
        <v>39000</v>
      </c>
      <c r="H8" s="10">
        <v>0</v>
      </c>
      <c r="I8" t="s">
        <v>57</v>
      </c>
      <c r="J8" t="s">
        <v>65</v>
      </c>
      <c r="K8" t="s">
        <v>12</v>
      </c>
      <c r="L8" t="s">
        <v>108</v>
      </c>
      <c r="M8" t="s">
        <v>134</v>
      </c>
    </row>
    <row r="9" spans="1:13" x14ac:dyDescent="0.35">
      <c r="A9" t="s">
        <v>62</v>
      </c>
      <c r="B9" t="s">
        <v>131</v>
      </c>
      <c r="C9" t="s">
        <v>18</v>
      </c>
      <c r="D9" t="s">
        <v>63</v>
      </c>
      <c r="E9" t="s">
        <v>135</v>
      </c>
      <c r="F9" t="s">
        <v>136</v>
      </c>
      <c r="G9" s="10">
        <v>0</v>
      </c>
      <c r="H9" s="10">
        <v>39000</v>
      </c>
      <c r="I9" t="s">
        <v>57</v>
      </c>
      <c r="J9" t="s">
        <v>65</v>
      </c>
      <c r="K9" t="s">
        <v>12</v>
      </c>
      <c r="L9" t="s">
        <v>108</v>
      </c>
      <c r="M9" t="s">
        <v>134</v>
      </c>
    </row>
    <row r="10" spans="1:13" x14ac:dyDescent="0.35">
      <c r="A10" t="s">
        <v>62</v>
      </c>
      <c r="B10" t="s">
        <v>137</v>
      </c>
      <c r="C10" t="s">
        <v>20</v>
      </c>
      <c r="D10" t="s">
        <v>64</v>
      </c>
      <c r="E10" t="s">
        <v>138</v>
      </c>
      <c r="F10" t="s">
        <v>139</v>
      </c>
      <c r="G10" s="10">
        <v>39000</v>
      </c>
      <c r="H10" s="10">
        <v>0</v>
      </c>
      <c r="I10" t="s">
        <v>57</v>
      </c>
      <c r="J10" t="s">
        <v>65</v>
      </c>
      <c r="K10" t="s">
        <v>12</v>
      </c>
      <c r="L10" t="s">
        <v>108</v>
      </c>
      <c r="M10" t="s">
        <v>134</v>
      </c>
    </row>
    <row r="11" spans="1:13" x14ac:dyDescent="0.35">
      <c r="A11" t="s">
        <v>62</v>
      </c>
      <c r="B11" t="s">
        <v>137</v>
      </c>
      <c r="C11" t="s">
        <v>20</v>
      </c>
      <c r="D11" t="s">
        <v>64</v>
      </c>
      <c r="E11" t="s">
        <v>140</v>
      </c>
      <c r="F11" t="s">
        <v>141</v>
      </c>
      <c r="G11" s="10">
        <v>0</v>
      </c>
      <c r="H11" s="10">
        <v>39000</v>
      </c>
      <c r="I11" t="s">
        <v>57</v>
      </c>
      <c r="J11" t="s">
        <v>65</v>
      </c>
      <c r="K11" t="s">
        <v>12</v>
      </c>
      <c r="L11" t="s">
        <v>108</v>
      </c>
      <c r="M11" t="s">
        <v>134</v>
      </c>
    </row>
    <row r="12" spans="1:13" x14ac:dyDescent="0.35">
      <c r="A12" t="s">
        <v>66</v>
      </c>
      <c r="B12" t="s">
        <v>131</v>
      </c>
      <c r="C12" t="s">
        <v>18</v>
      </c>
      <c r="D12" t="s">
        <v>67</v>
      </c>
      <c r="E12" t="s">
        <v>132</v>
      </c>
      <c r="F12" t="s">
        <v>133</v>
      </c>
      <c r="G12" s="10">
        <v>68739.02</v>
      </c>
      <c r="H12" s="10">
        <v>0</v>
      </c>
      <c r="I12" t="s">
        <v>57</v>
      </c>
      <c r="J12" t="s">
        <v>69</v>
      </c>
      <c r="K12" t="s">
        <v>12</v>
      </c>
      <c r="L12" t="s">
        <v>108</v>
      </c>
      <c r="M12" t="s">
        <v>134</v>
      </c>
    </row>
    <row r="13" spans="1:13" x14ac:dyDescent="0.35">
      <c r="A13" t="s">
        <v>66</v>
      </c>
      <c r="B13" t="s">
        <v>131</v>
      </c>
      <c r="C13" t="s">
        <v>18</v>
      </c>
      <c r="D13" t="s">
        <v>67</v>
      </c>
      <c r="E13" t="s">
        <v>135</v>
      </c>
      <c r="F13" t="s">
        <v>136</v>
      </c>
      <c r="G13" s="10">
        <v>0</v>
      </c>
      <c r="H13" s="10">
        <v>68739.02</v>
      </c>
      <c r="I13" t="s">
        <v>57</v>
      </c>
      <c r="J13" t="s">
        <v>69</v>
      </c>
      <c r="K13" t="s">
        <v>12</v>
      </c>
      <c r="L13" t="s">
        <v>108</v>
      </c>
      <c r="M13" t="s">
        <v>134</v>
      </c>
    </row>
    <row r="14" spans="1:13" x14ac:dyDescent="0.35">
      <c r="A14" t="s">
        <v>66</v>
      </c>
      <c r="B14" t="s">
        <v>137</v>
      </c>
      <c r="C14" t="s">
        <v>20</v>
      </c>
      <c r="D14" t="s">
        <v>68</v>
      </c>
      <c r="E14" t="s">
        <v>138</v>
      </c>
      <c r="F14" t="s">
        <v>139</v>
      </c>
      <c r="G14" s="10">
        <v>68739.02</v>
      </c>
      <c r="H14" s="10">
        <v>0</v>
      </c>
      <c r="I14" t="s">
        <v>57</v>
      </c>
      <c r="J14" t="s">
        <v>69</v>
      </c>
      <c r="K14" t="s">
        <v>12</v>
      </c>
      <c r="L14" t="s">
        <v>108</v>
      </c>
      <c r="M14" t="s">
        <v>134</v>
      </c>
    </row>
    <row r="15" spans="1:13" x14ac:dyDescent="0.35">
      <c r="A15" t="s">
        <v>66</v>
      </c>
      <c r="B15" t="s">
        <v>137</v>
      </c>
      <c r="C15" t="s">
        <v>20</v>
      </c>
      <c r="D15" t="s">
        <v>68</v>
      </c>
      <c r="E15" t="s">
        <v>140</v>
      </c>
      <c r="F15" t="s">
        <v>141</v>
      </c>
      <c r="G15" s="10">
        <v>0</v>
      </c>
      <c r="H15" s="10">
        <v>68739.02</v>
      </c>
      <c r="I15" t="s">
        <v>57</v>
      </c>
      <c r="J15" t="s">
        <v>69</v>
      </c>
      <c r="K15" t="s">
        <v>12</v>
      </c>
      <c r="L15" t="s">
        <v>108</v>
      </c>
      <c r="M15" t="s">
        <v>134</v>
      </c>
    </row>
    <row r="16" spans="1:13" x14ac:dyDescent="0.35">
      <c r="A16" t="s">
        <v>70</v>
      </c>
      <c r="B16" t="s">
        <v>131</v>
      </c>
      <c r="C16" t="s">
        <v>18</v>
      </c>
      <c r="D16" t="s">
        <v>71</v>
      </c>
      <c r="E16" t="s">
        <v>132</v>
      </c>
      <c r="F16" t="s">
        <v>133</v>
      </c>
      <c r="G16" s="10">
        <v>37176.160000000003</v>
      </c>
      <c r="H16" s="10">
        <v>0</v>
      </c>
      <c r="I16" t="s">
        <v>57</v>
      </c>
      <c r="J16" t="s">
        <v>73</v>
      </c>
      <c r="K16" t="s">
        <v>12</v>
      </c>
      <c r="L16" t="s">
        <v>108</v>
      </c>
      <c r="M16" t="s">
        <v>134</v>
      </c>
    </row>
    <row r="17" spans="1:13" x14ac:dyDescent="0.35">
      <c r="A17" t="s">
        <v>70</v>
      </c>
      <c r="B17" t="s">
        <v>131</v>
      </c>
      <c r="C17" t="s">
        <v>18</v>
      </c>
      <c r="D17" t="s">
        <v>71</v>
      </c>
      <c r="E17" t="s">
        <v>135</v>
      </c>
      <c r="F17" t="s">
        <v>136</v>
      </c>
      <c r="G17" s="10">
        <v>0</v>
      </c>
      <c r="H17" s="10">
        <v>37176.160000000003</v>
      </c>
      <c r="I17" t="s">
        <v>57</v>
      </c>
      <c r="J17" t="s">
        <v>73</v>
      </c>
      <c r="K17" t="s">
        <v>12</v>
      </c>
      <c r="L17" t="s">
        <v>108</v>
      </c>
      <c r="M17" t="s">
        <v>134</v>
      </c>
    </row>
    <row r="18" spans="1:13" x14ac:dyDescent="0.35">
      <c r="A18" t="s">
        <v>70</v>
      </c>
      <c r="B18" t="s">
        <v>137</v>
      </c>
      <c r="C18" t="s">
        <v>20</v>
      </c>
      <c r="D18" t="s">
        <v>72</v>
      </c>
      <c r="E18" t="s">
        <v>138</v>
      </c>
      <c r="F18" t="s">
        <v>139</v>
      </c>
      <c r="G18" s="10">
        <v>37176.160000000003</v>
      </c>
      <c r="H18" s="10">
        <v>0</v>
      </c>
      <c r="I18" t="s">
        <v>57</v>
      </c>
      <c r="J18" t="s">
        <v>73</v>
      </c>
      <c r="K18" t="s">
        <v>12</v>
      </c>
      <c r="L18" t="s">
        <v>108</v>
      </c>
      <c r="M18" t="s">
        <v>134</v>
      </c>
    </row>
    <row r="19" spans="1:13" x14ac:dyDescent="0.35">
      <c r="A19" t="s">
        <v>70</v>
      </c>
      <c r="B19" t="s">
        <v>137</v>
      </c>
      <c r="C19" t="s">
        <v>20</v>
      </c>
      <c r="D19" t="s">
        <v>72</v>
      </c>
      <c r="E19" t="s">
        <v>140</v>
      </c>
      <c r="F19" t="s">
        <v>141</v>
      </c>
      <c r="G19" s="10">
        <v>0</v>
      </c>
      <c r="H19" s="10">
        <v>37176.160000000003</v>
      </c>
      <c r="I19" t="s">
        <v>57</v>
      </c>
      <c r="J19" t="s">
        <v>73</v>
      </c>
      <c r="K19" t="s">
        <v>12</v>
      </c>
      <c r="L19" t="s">
        <v>108</v>
      </c>
      <c r="M19" t="s">
        <v>134</v>
      </c>
    </row>
    <row r="20" spans="1:13" x14ac:dyDescent="0.35">
      <c r="A20" t="s">
        <v>74</v>
      </c>
      <c r="B20" t="s">
        <v>131</v>
      </c>
      <c r="C20" t="s">
        <v>18</v>
      </c>
      <c r="D20" t="s">
        <v>75</v>
      </c>
      <c r="E20" t="s">
        <v>132</v>
      </c>
      <c r="F20" t="s">
        <v>133</v>
      </c>
      <c r="G20" s="10">
        <v>44879.86</v>
      </c>
      <c r="H20" s="10">
        <v>0</v>
      </c>
      <c r="I20" t="s">
        <v>57</v>
      </c>
      <c r="J20" t="s">
        <v>77</v>
      </c>
      <c r="K20" t="s">
        <v>12</v>
      </c>
      <c r="L20" t="s">
        <v>108</v>
      </c>
      <c r="M20" t="s">
        <v>134</v>
      </c>
    </row>
    <row r="21" spans="1:13" x14ac:dyDescent="0.35">
      <c r="A21" t="s">
        <v>74</v>
      </c>
      <c r="B21" t="s">
        <v>131</v>
      </c>
      <c r="C21" t="s">
        <v>18</v>
      </c>
      <c r="D21" t="s">
        <v>75</v>
      </c>
      <c r="E21" t="s">
        <v>135</v>
      </c>
      <c r="F21" t="s">
        <v>136</v>
      </c>
      <c r="G21" s="10">
        <v>0</v>
      </c>
      <c r="H21" s="10">
        <v>44879.86</v>
      </c>
      <c r="I21" t="s">
        <v>57</v>
      </c>
      <c r="J21" t="s">
        <v>77</v>
      </c>
      <c r="K21" t="s">
        <v>12</v>
      </c>
      <c r="L21" t="s">
        <v>108</v>
      </c>
      <c r="M21" t="s">
        <v>134</v>
      </c>
    </row>
    <row r="22" spans="1:13" x14ac:dyDescent="0.35">
      <c r="A22" t="s">
        <v>74</v>
      </c>
      <c r="B22" t="s">
        <v>137</v>
      </c>
      <c r="C22" t="s">
        <v>20</v>
      </c>
      <c r="D22" t="s">
        <v>76</v>
      </c>
      <c r="E22" t="s">
        <v>138</v>
      </c>
      <c r="F22" t="s">
        <v>139</v>
      </c>
      <c r="G22" s="10">
        <v>44879.86</v>
      </c>
      <c r="H22" s="10">
        <v>0</v>
      </c>
      <c r="I22" t="s">
        <v>57</v>
      </c>
      <c r="J22" t="s">
        <v>77</v>
      </c>
      <c r="K22" t="s">
        <v>12</v>
      </c>
      <c r="L22" t="s">
        <v>108</v>
      </c>
      <c r="M22" t="s">
        <v>134</v>
      </c>
    </row>
    <row r="23" spans="1:13" x14ac:dyDescent="0.35">
      <c r="A23" t="s">
        <v>74</v>
      </c>
      <c r="B23" t="s">
        <v>137</v>
      </c>
      <c r="C23" t="s">
        <v>20</v>
      </c>
      <c r="D23" t="s">
        <v>76</v>
      </c>
      <c r="E23" t="s">
        <v>140</v>
      </c>
      <c r="F23" t="s">
        <v>141</v>
      </c>
      <c r="G23" s="10">
        <v>0</v>
      </c>
      <c r="H23" s="10">
        <v>44879.86</v>
      </c>
      <c r="I23" t="s">
        <v>57</v>
      </c>
      <c r="J23" t="s">
        <v>77</v>
      </c>
      <c r="K23" t="s">
        <v>12</v>
      </c>
      <c r="L23" t="s">
        <v>108</v>
      </c>
      <c r="M23" t="s">
        <v>134</v>
      </c>
    </row>
    <row r="24" spans="1:13" x14ac:dyDescent="0.35">
      <c r="A24" t="s">
        <v>78</v>
      </c>
      <c r="B24" t="s">
        <v>131</v>
      </c>
      <c r="C24" t="s">
        <v>18</v>
      </c>
      <c r="D24" t="s">
        <v>79</v>
      </c>
      <c r="E24" t="s">
        <v>132</v>
      </c>
      <c r="F24" t="s">
        <v>133</v>
      </c>
      <c r="G24" s="10">
        <v>73192.67</v>
      </c>
      <c r="H24" s="10">
        <v>0</v>
      </c>
      <c r="I24" t="s">
        <v>57</v>
      </c>
      <c r="J24" t="s">
        <v>81</v>
      </c>
      <c r="K24" t="s">
        <v>12</v>
      </c>
      <c r="L24" t="s">
        <v>108</v>
      </c>
      <c r="M24" t="s">
        <v>134</v>
      </c>
    </row>
    <row r="25" spans="1:13" x14ac:dyDescent="0.35">
      <c r="A25" t="s">
        <v>78</v>
      </c>
      <c r="B25" t="s">
        <v>131</v>
      </c>
      <c r="C25" t="s">
        <v>18</v>
      </c>
      <c r="D25" t="s">
        <v>79</v>
      </c>
      <c r="E25" t="s">
        <v>135</v>
      </c>
      <c r="F25" t="s">
        <v>136</v>
      </c>
      <c r="G25" s="10">
        <v>0</v>
      </c>
      <c r="H25" s="10">
        <v>73192.67</v>
      </c>
      <c r="I25" t="s">
        <v>57</v>
      </c>
      <c r="J25" t="s">
        <v>81</v>
      </c>
      <c r="K25" t="s">
        <v>12</v>
      </c>
      <c r="L25" t="s">
        <v>108</v>
      </c>
      <c r="M25" t="s">
        <v>134</v>
      </c>
    </row>
    <row r="26" spans="1:13" x14ac:dyDescent="0.35">
      <c r="A26" t="s">
        <v>78</v>
      </c>
      <c r="B26" t="s">
        <v>137</v>
      </c>
      <c r="C26" t="s">
        <v>20</v>
      </c>
      <c r="D26" t="s">
        <v>80</v>
      </c>
      <c r="E26" t="s">
        <v>138</v>
      </c>
      <c r="F26" t="s">
        <v>139</v>
      </c>
      <c r="G26" s="10">
        <v>73192.67</v>
      </c>
      <c r="H26" s="10">
        <v>0</v>
      </c>
      <c r="I26" t="s">
        <v>57</v>
      </c>
      <c r="J26" t="s">
        <v>81</v>
      </c>
      <c r="K26" t="s">
        <v>12</v>
      </c>
      <c r="L26" t="s">
        <v>108</v>
      </c>
      <c r="M26" t="s">
        <v>134</v>
      </c>
    </row>
    <row r="27" spans="1:13" x14ac:dyDescent="0.35">
      <c r="A27" t="s">
        <v>78</v>
      </c>
      <c r="B27" t="s">
        <v>137</v>
      </c>
      <c r="C27" t="s">
        <v>20</v>
      </c>
      <c r="D27" t="s">
        <v>80</v>
      </c>
      <c r="E27" t="s">
        <v>140</v>
      </c>
      <c r="F27" t="s">
        <v>141</v>
      </c>
      <c r="G27" s="10">
        <v>0</v>
      </c>
      <c r="H27" s="10">
        <v>73192.67</v>
      </c>
      <c r="I27" t="s">
        <v>57</v>
      </c>
      <c r="J27" t="s">
        <v>81</v>
      </c>
      <c r="K27" t="s">
        <v>12</v>
      </c>
      <c r="L27" t="s">
        <v>108</v>
      </c>
      <c r="M27" t="s">
        <v>134</v>
      </c>
    </row>
    <row r="28" spans="1:13" x14ac:dyDescent="0.35">
      <c r="A28" t="s">
        <v>82</v>
      </c>
      <c r="B28" t="s">
        <v>131</v>
      </c>
      <c r="C28" t="s">
        <v>18</v>
      </c>
      <c r="D28" t="s">
        <v>83</v>
      </c>
      <c r="E28" t="s">
        <v>132</v>
      </c>
      <c r="F28" t="s">
        <v>133</v>
      </c>
      <c r="G28" s="10">
        <v>118273.38</v>
      </c>
      <c r="H28" s="10">
        <v>0</v>
      </c>
      <c r="I28" t="s">
        <v>57</v>
      </c>
      <c r="J28" t="s">
        <v>85</v>
      </c>
      <c r="K28" t="s">
        <v>12</v>
      </c>
      <c r="L28" t="s">
        <v>108</v>
      </c>
      <c r="M28" t="s">
        <v>134</v>
      </c>
    </row>
    <row r="29" spans="1:13" x14ac:dyDescent="0.35">
      <c r="A29" t="s">
        <v>82</v>
      </c>
      <c r="B29" t="s">
        <v>131</v>
      </c>
      <c r="C29" t="s">
        <v>18</v>
      </c>
      <c r="D29" t="s">
        <v>83</v>
      </c>
      <c r="E29" t="s">
        <v>135</v>
      </c>
      <c r="F29" t="s">
        <v>136</v>
      </c>
      <c r="G29" s="10">
        <v>0</v>
      </c>
      <c r="H29" s="10">
        <v>118273.38</v>
      </c>
      <c r="I29" t="s">
        <v>57</v>
      </c>
      <c r="J29" t="s">
        <v>85</v>
      </c>
      <c r="K29" t="s">
        <v>12</v>
      </c>
      <c r="L29" t="s">
        <v>108</v>
      </c>
      <c r="M29" t="s">
        <v>134</v>
      </c>
    </row>
    <row r="30" spans="1:13" x14ac:dyDescent="0.35">
      <c r="A30" t="s">
        <v>82</v>
      </c>
      <c r="B30" t="s">
        <v>137</v>
      </c>
      <c r="C30" t="s">
        <v>20</v>
      </c>
      <c r="D30" t="s">
        <v>84</v>
      </c>
      <c r="E30" t="s">
        <v>138</v>
      </c>
      <c r="F30" t="s">
        <v>139</v>
      </c>
      <c r="G30" s="10">
        <v>118273.38</v>
      </c>
      <c r="H30" s="10">
        <v>0</v>
      </c>
      <c r="I30" t="s">
        <v>57</v>
      </c>
      <c r="J30" t="s">
        <v>85</v>
      </c>
      <c r="K30" t="s">
        <v>12</v>
      </c>
      <c r="L30" t="s">
        <v>108</v>
      </c>
      <c r="M30" t="s">
        <v>134</v>
      </c>
    </row>
    <row r="31" spans="1:13" x14ac:dyDescent="0.35">
      <c r="A31" t="s">
        <v>82</v>
      </c>
      <c r="B31" t="s">
        <v>137</v>
      </c>
      <c r="C31" t="s">
        <v>20</v>
      </c>
      <c r="D31" t="s">
        <v>84</v>
      </c>
      <c r="E31" t="s">
        <v>140</v>
      </c>
      <c r="F31" t="s">
        <v>141</v>
      </c>
      <c r="G31" s="10">
        <v>0</v>
      </c>
      <c r="H31" s="10">
        <v>118273.38</v>
      </c>
      <c r="I31" t="s">
        <v>57</v>
      </c>
      <c r="J31" t="s">
        <v>85</v>
      </c>
      <c r="K31" t="s">
        <v>12</v>
      </c>
      <c r="L31" t="s">
        <v>108</v>
      </c>
      <c r="M31" t="s">
        <v>134</v>
      </c>
    </row>
    <row r="32" spans="1:13" x14ac:dyDescent="0.35">
      <c r="A32" t="s">
        <v>86</v>
      </c>
      <c r="B32" t="s">
        <v>131</v>
      </c>
      <c r="C32" t="s">
        <v>18</v>
      </c>
      <c r="D32" t="s">
        <v>87</v>
      </c>
      <c r="E32" t="s">
        <v>132</v>
      </c>
      <c r="F32" t="s">
        <v>133</v>
      </c>
      <c r="G32" s="10">
        <v>43374.03</v>
      </c>
      <c r="H32" s="10">
        <v>0</v>
      </c>
      <c r="I32" t="s">
        <v>57</v>
      </c>
      <c r="J32" t="s">
        <v>89</v>
      </c>
      <c r="K32" t="s">
        <v>12</v>
      </c>
      <c r="L32" t="s">
        <v>108</v>
      </c>
      <c r="M32" t="s">
        <v>134</v>
      </c>
    </row>
    <row r="33" spans="1:13" x14ac:dyDescent="0.35">
      <c r="A33" t="s">
        <v>86</v>
      </c>
      <c r="B33" t="s">
        <v>131</v>
      </c>
      <c r="C33" t="s">
        <v>18</v>
      </c>
      <c r="D33" t="s">
        <v>87</v>
      </c>
      <c r="E33" t="s">
        <v>135</v>
      </c>
      <c r="F33" t="s">
        <v>136</v>
      </c>
      <c r="G33" s="10">
        <v>0</v>
      </c>
      <c r="H33" s="10">
        <v>43374.03</v>
      </c>
      <c r="I33" t="s">
        <v>57</v>
      </c>
      <c r="J33" t="s">
        <v>89</v>
      </c>
      <c r="K33" t="s">
        <v>12</v>
      </c>
      <c r="L33" t="s">
        <v>108</v>
      </c>
      <c r="M33" t="s">
        <v>134</v>
      </c>
    </row>
    <row r="34" spans="1:13" x14ac:dyDescent="0.35">
      <c r="A34" t="s">
        <v>86</v>
      </c>
      <c r="B34" t="s">
        <v>137</v>
      </c>
      <c r="C34" t="s">
        <v>20</v>
      </c>
      <c r="D34" t="s">
        <v>88</v>
      </c>
      <c r="E34" t="s">
        <v>138</v>
      </c>
      <c r="F34" t="s">
        <v>139</v>
      </c>
      <c r="G34" s="10">
        <v>43374.03</v>
      </c>
      <c r="H34" s="10">
        <v>0</v>
      </c>
      <c r="I34" t="s">
        <v>57</v>
      </c>
      <c r="J34" t="s">
        <v>89</v>
      </c>
      <c r="K34" t="s">
        <v>12</v>
      </c>
      <c r="L34" t="s">
        <v>108</v>
      </c>
      <c r="M34" t="s">
        <v>134</v>
      </c>
    </row>
    <row r="35" spans="1:13" x14ac:dyDescent="0.35">
      <c r="A35" t="s">
        <v>86</v>
      </c>
      <c r="B35" t="s">
        <v>137</v>
      </c>
      <c r="C35" t="s">
        <v>20</v>
      </c>
      <c r="D35" t="s">
        <v>88</v>
      </c>
      <c r="E35" t="s">
        <v>140</v>
      </c>
      <c r="F35" t="s">
        <v>141</v>
      </c>
      <c r="G35" s="10">
        <v>0</v>
      </c>
      <c r="H35" s="10">
        <v>43374.03</v>
      </c>
      <c r="I35" t="s">
        <v>57</v>
      </c>
      <c r="J35" t="s">
        <v>89</v>
      </c>
      <c r="K35" t="s">
        <v>12</v>
      </c>
      <c r="L35" t="s">
        <v>108</v>
      </c>
      <c r="M35" t="s">
        <v>134</v>
      </c>
    </row>
    <row r="36" spans="1:13" x14ac:dyDescent="0.35">
      <c r="A36" t="s">
        <v>90</v>
      </c>
      <c r="B36" t="s">
        <v>131</v>
      </c>
      <c r="C36" t="s">
        <v>18</v>
      </c>
      <c r="D36" t="s">
        <v>91</v>
      </c>
      <c r="E36" t="s">
        <v>132</v>
      </c>
      <c r="F36" t="s">
        <v>133</v>
      </c>
      <c r="G36" s="10">
        <v>184379.74</v>
      </c>
      <c r="H36" s="10">
        <v>0</v>
      </c>
      <c r="I36" t="s">
        <v>57</v>
      </c>
      <c r="J36" t="s">
        <v>93</v>
      </c>
      <c r="K36" t="s">
        <v>12</v>
      </c>
      <c r="L36" t="s">
        <v>108</v>
      </c>
      <c r="M36" t="s">
        <v>134</v>
      </c>
    </row>
    <row r="37" spans="1:13" x14ac:dyDescent="0.35">
      <c r="A37" t="s">
        <v>90</v>
      </c>
      <c r="B37" t="s">
        <v>131</v>
      </c>
      <c r="C37" t="s">
        <v>18</v>
      </c>
      <c r="D37" t="s">
        <v>91</v>
      </c>
      <c r="E37" t="s">
        <v>135</v>
      </c>
      <c r="F37" t="s">
        <v>136</v>
      </c>
      <c r="G37" s="10">
        <v>0</v>
      </c>
      <c r="H37" s="10">
        <v>184379.74</v>
      </c>
      <c r="I37" t="s">
        <v>57</v>
      </c>
      <c r="J37" t="s">
        <v>93</v>
      </c>
      <c r="K37" t="s">
        <v>12</v>
      </c>
      <c r="L37" t="s">
        <v>108</v>
      </c>
      <c r="M37" t="s">
        <v>134</v>
      </c>
    </row>
    <row r="38" spans="1:13" x14ac:dyDescent="0.35">
      <c r="A38" t="s">
        <v>90</v>
      </c>
      <c r="B38" t="s">
        <v>137</v>
      </c>
      <c r="C38" t="s">
        <v>20</v>
      </c>
      <c r="D38" t="s">
        <v>92</v>
      </c>
      <c r="E38" t="s">
        <v>138</v>
      </c>
      <c r="F38" t="s">
        <v>139</v>
      </c>
      <c r="G38" s="10">
        <v>184379.74</v>
      </c>
      <c r="H38" s="10">
        <v>0</v>
      </c>
      <c r="I38" t="s">
        <v>57</v>
      </c>
      <c r="J38" t="s">
        <v>93</v>
      </c>
      <c r="K38" t="s">
        <v>12</v>
      </c>
      <c r="L38" t="s">
        <v>108</v>
      </c>
      <c r="M38" t="s">
        <v>134</v>
      </c>
    </row>
    <row r="39" spans="1:13" x14ac:dyDescent="0.35">
      <c r="A39" t="s">
        <v>90</v>
      </c>
      <c r="B39" t="s">
        <v>137</v>
      </c>
      <c r="C39" t="s">
        <v>20</v>
      </c>
      <c r="D39" t="s">
        <v>92</v>
      </c>
      <c r="E39" t="s">
        <v>140</v>
      </c>
      <c r="F39" t="s">
        <v>141</v>
      </c>
      <c r="G39" s="10">
        <v>0</v>
      </c>
      <c r="H39" s="10">
        <v>184379.74</v>
      </c>
      <c r="I39" t="s">
        <v>57</v>
      </c>
      <c r="J39" t="s">
        <v>93</v>
      </c>
      <c r="K39" t="s">
        <v>12</v>
      </c>
      <c r="L39" t="s">
        <v>108</v>
      </c>
      <c r="M39" t="s">
        <v>134</v>
      </c>
    </row>
    <row r="40" spans="1:13" x14ac:dyDescent="0.35">
      <c r="A40" t="s">
        <v>94</v>
      </c>
      <c r="B40" t="s">
        <v>131</v>
      </c>
      <c r="C40" t="s">
        <v>18</v>
      </c>
      <c r="D40" t="s">
        <v>95</v>
      </c>
      <c r="E40" t="s">
        <v>132</v>
      </c>
      <c r="F40" t="s">
        <v>133</v>
      </c>
      <c r="G40" s="10">
        <v>11923.77</v>
      </c>
      <c r="H40" s="10">
        <v>0</v>
      </c>
      <c r="I40" t="s">
        <v>57</v>
      </c>
      <c r="J40" t="s">
        <v>97</v>
      </c>
      <c r="K40" t="s">
        <v>12</v>
      </c>
      <c r="L40" t="s">
        <v>108</v>
      </c>
      <c r="M40" t="s">
        <v>134</v>
      </c>
    </row>
    <row r="41" spans="1:13" x14ac:dyDescent="0.35">
      <c r="A41" t="s">
        <v>94</v>
      </c>
      <c r="B41" t="s">
        <v>131</v>
      </c>
      <c r="C41" t="s">
        <v>18</v>
      </c>
      <c r="D41" t="s">
        <v>95</v>
      </c>
      <c r="E41" t="s">
        <v>135</v>
      </c>
      <c r="F41" t="s">
        <v>136</v>
      </c>
      <c r="G41" s="10">
        <v>0</v>
      </c>
      <c r="H41" s="10">
        <v>11923.77</v>
      </c>
      <c r="I41" t="s">
        <v>57</v>
      </c>
      <c r="J41" t="s">
        <v>97</v>
      </c>
      <c r="K41" t="s">
        <v>12</v>
      </c>
      <c r="L41" t="s">
        <v>108</v>
      </c>
      <c r="M41" t="s">
        <v>134</v>
      </c>
    </row>
    <row r="42" spans="1:13" x14ac:dyDescent="0.35">
      <c r="A42" t="s">
        <v>94</v>
      </c>
      <c r="B42" t="s">
        <v>137</v>
      </c>
      <c r="C42" t="s">
        <v>20</v>
      </c>
      <c r="D42" t="s">
        <v>96</v>
      </c>
      <c r="E42" t="s">
        <v>138</v>
      </c>
      <c r="F42" t="s">
        <v>139</v>
      </c>
      <c r="G42" s="10">
        <v>11923.77</v>
      </c>
      <c r="H42" s="10">
        <v>0</v>
      </c>
      <c r="I42" t="s">
        <v>57</v>
      </c>
      <c r="J42" t="s">
        <v>97</v>
      </c>
      <c r="K42" t="s">
        <v>12</v>
      </c>
      <c r="L42" t="s">
        <v>108</v>
      </c>
      <c r="M42" t="s">
        <v>134</v>
      </c>
    </row>
    <row r="43" spans="1:13" x14ac:dyDescent="0.35">
      <c r="A43" t="s">
        <v>94</v>
      </c>
      <c r="B43" t="s">
        <v>137</v>
      </c>
      <c r="C43" t="s">
        <v>20</v>
      </c>
      <c r="D43" t="s">
        <v>96</v>
      </c>
      <c r="E43" t="s">
        <v>140</v>
      </c>
      <c r="F43" t="s">
        <v>141</v>
      </c>
      <c r="G43" s="10">
        <v>0</v>
      </c>
      <c r="H43" s="10">
        <v>11923.77</v>
      </c>
      <c r="I43" t="s">
        <v>57</v>
      </c>
      <c r="J43" t="s">
        <v>97</v>
      </c>
      <c r="K43" t="s">
        <v>12</v>
      </c>
      <c r="L43" t="s">
        <v>108</v>
      </c>
      <c r="M43" t="s">
        <v>134</v>
      </c>
    </row>
  </sheetData>
  <mergeCells count="1">
    <mergeCell ref="A1:M1"/>
  </mergeCells>
  <pageMargins left="0.75" right="0.75" top="1" bottom="1" header="0.5" footer="0.5"/>
  <pageSetup fitToHeight="0"/>
  <headerFooter>
    <oddFooter>&amp;CLTM | SAP-style illustrative output | Bank: DBS Global | Not generated by SAP&amp;RPage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ERP Control</vt:lpstr>
      <vt:lpstr>Invoice Register</vt:lpstr>
      <vt:lpstr>FBL5N AR Extract</vt:lpstr>
      <vt:lpstr>FBL1N AP Mirror</vt:lpstr>
      <vt:lpstr>Reconciliation</vt:lpstr>
      <vt:lpstr>Accounting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Naik N</dc:creator>
  <cp:lastModifiedBy>Venkatesh Naik N</cp:lastModifiedBy>
  <dcterms:created xsi:type="dcterms:W3CDTF">2026-09-21T10:13:47Z</dcterms:created>
  <dcterms:modified xsi:type="dcterms:W3CDTF">2026-09-21T10:26:10Z</dcterms:modified>
</cp:coreProperties>
</file>